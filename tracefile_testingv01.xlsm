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faur\Documents\Fall_22\ECE485\ECE-485-Project\"/>
    </mc:Choice>
  </mc:AlternateContent>
  <xr:revisionPtr revIDLastSave="0" documentId="13_ncr:1_{18C12E97-7103-4806-8E18-799D301B4C60}" xr6:coauthVersionLast="47" xr6:coauthVersionMax="47" xr10:uidLastSave="{00000000-0000-0000-0000-000000000000}"/>
  <bookViews>
    <workbookView xWindow="-110" yWindow="-110" windowWidth="19420" windowHeight="10420" xr2:uid="{9F63A809-D5F4-4100-8D62-B7C07BA96C5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" i="1" l="1"/>
  <c r="H25" i="1"/>
  <c r="H26" i="1"/>
  <c r="H27" i="1"/>
  <c r="H28" i="1"/>
  <c r="H29" i="1"/>
  <c r="H30" i="1"/>
  <c r="H31" i="1"/>
  <c r="I31" i="1" s="1"/>
  <c r="H32" i="1"/>
  <c r="H33" i="1"/>
  <c r="H34" i="1"/>
  <c r="H35" i="1"/>
  <c r="H36" i="1"/>
  <c r="H37" i="1"/>
  <c r="H38" i="1"/>
  <c r="H39" i="1"/>
  <c r="I39" i="1" s="1"/>
  <c r="H40" i="1"/>
  <c r="H41" i="1"/>
  <c r="H42" i="1"/>
  <c r="H43" i="1"/>
  <c r="H44" i="1"/>
  <c r="H45" i="1"/>
  <c r="H46" i="1"/>
  <c r="H47" i="1"/>
  <c r="I47" i="1" s="1"/>
  <c r="H48" i="1"/>
  <c r="H49" i="1"/>
  <c r="H50" i="1"/>
  <c r="H51" i="1"/>
  <c r="H52" i="1"/>
  <c r="H53" i="1"/>
  <c r="H54" i="1"/>
  <c r="H55" i="1"/>
  <c r="I55" i="1" s="1"/>
  <c r="H56" i="1"/>
  <c r="H57" i="1"/>
  <c r="H58" i="1"/>
  <c r="H59" i="1"/>
  <c r="H60" i="1"/>
  <c r="H61" i="1"/>
  <c r="H62" i="1"/>
  <c r="H63" i="1"/>
  <c r="I63" i="1" s="1"/>
  <c r="H64" i="1"/>
  <c r="H65" i="1"/>
  <c r="H66" i="1"/>
  <c r="H67" i="1"/>
  <c r="H68" i="1"/>
  <c r="H69" i="1"/>
  <c r="H70" i="1"/>
  <c r="H71" i="1"/>
  <c r="I71" i="1" s="1"/>
  <c r="H72" i="1"/>
  <c r="H73" i="1"/>
  <c r="H74" i="1"/>
  <c r="H75" i="1"/>
  <c r="H76" i="1"/>
  <c r="H77" i="1"/>
  <c r="H78" i="1"/>
  <c r="H79" i="1"/>
  <c r="I79" i="1" s="1"/>
  <c r="H80" i="1"/>
  <c r="H81" i="1"/>
  <c r="H82" i="1"/>
  <c r="H83" i="1"/>
  <c r="H84" i="1"/>
  <c r="H85" i="1"/>
  <c r="H86" i="1"/>
  <c r="H87" i="1"/>
  <c r="I87" i="1" s="1"/>
  <c r="H88" i="1"/>
  <c r="H89" i="1"/>
  <c r="H90" i="1"/>
  <c r="H91" i="1"/>
  <c r="H92" i="1"/>
  <c r="H93" i="1"/>
  <c r="H94" i="1"/>
  <c r="H95" i="1"/>
  <c r="I95" i="1" s="1"/>
  <c r="H96" i="1"/>
  <c r="H97" i="1"/>
  <c r="H98" i="1"/>
  <c r="H99" i="1"/>
  <c r="H100" i="1"/>
  <c r="H101" i="1"/>
  <c r="H102" i="1"/>
  <c r="H103" i="1"/>
  <c r="I103" i="1" s="1"/>
  <c r="H104" i="1"/>
  <c r="H105" i="1"/>
  <c r="H106" i="1"/>
  <c r="H107" i="1"/>
  <c r="H108" i="1"/>
  <c r="H109" i="1"/>
  <c r="H110" i="1"/>
  <c r="H111" i="1"/>
  <c r="I111" i="1" s="1"/>
  <c r="H112" i="1"/>
  <c r="H113" i="1"/>
  <c r="H114" i="1"/>
  <c r="H115" i="1"/>
  <c r="H116" i="1"/>
  <c r="H117" i="1"/>
  <c r="H118" i="1"/>
  <c r="H119" i="1"/>
  <c r="I119" i="1" s="1"/>
  <c r="H120" i="1"/>
  <c r="H121" i="1"/>
  <c r="H122" i="1"/>
  <c r="H123" i="1"/>
  <c r="H124" i="1"/>
  <c r="H125" i="1"/>
  <c r="H126" i="1"/>
  <c r="H127" i="1"/>
  <c r="I127" i="1" s="1"/>
  <c r="H128" i="1"/>
  <c r="H129" i="1"/>
  <c r="H130" i="1"/>
  <c r="H131" i="1"/>
  <c r="H132" i="1"/>
  <c r="H133" i="1"/>
  <c r="H134" i="1"/>
  <c r="H135" i="1"/>
  <c r="I135" i="1" s="1"/>
  <c r="H136" i="1"/>
  <c r="H137" i="1"/>
  <c r="H138" i="1"/>
  <c r="H139" i="1"/>
  <c r="H140" i="1"/>
  <c r="H141" i="1"/>
  <c r="H142" i="1"/>
  <c r="H143" i="1"/>
  <c r="I143" i="1" s="1"/>
  <c r="H144" i="1"/>
  <c r="H145" i="1"/>
  <c r="H146" i="1"/>
  <c r="H147" i="1"/>
  <c r="H148" i="1"/>
  <c r="H149" i="1"/>
  <c r="H150" i="1"/>
  <c r="H151" i="1"/>
  <c r="I151" i="1" s="1"/>
  <c r="H152" i="1"/>
  <c r="H153" i="1"/>
  <c r="H154" i="1"/>
  <c r="H155" i="1"/>
  <c r="H156" i="1"/>
  <c r="H157" i="1"/>
  <c r="H158" i="1"/>
  <c r="H159" i="1"/>
  <c r="I159" i="1" s="1"/>
  <c r="H160" i="1"/>
  <c r="H161" i="1"/>
  <c r="H162" i="1"/>
  <c r="H163" i="1"/>
  <c r="H164" i="1"/>
  <c r="H165" i="1"/>
  <c r="H166" i="1"/>
  <c r="H167" i="1"/>
  <c r="I167" i="1" s="1"/>
  <c r="H168" i="1"/>
  <c r="H169" i="1"/>
  <c r="H170" i="1"/>
  <c r="H171" i="1"/>
  <c r="H172" i="1"/>
  <c r="H173" i="1"/>
  <c r="H174" i="1"/>
  <c r="H175" i="1"/>
  <c r="I175" i="1" s="1"/>
  <c r="H176" i="1"/>
  <c r="H177" i="1"/>
  <c r="H178" i="1"/>
  <c r="H179" i="1"/>
  <c r="H180" i="1"/>
  <c r="H181" i="1"/>
  <c r="H182" i="1"/>
  <c r="H183" i="1"/>
  <c r="I183" i="1" s="1"/>
  <c r="H184" i="1"/>
  <c r="H185" i="1"/>
  <c r="H186" i="1"/>
  <c r="H187" i="1"/>
  <c r="H188" i="1"/>
  <c r="H189" i="1"/>
  <c r="H190" i="1"/>
  <c r="H191" i="1"/>
  <c r="I191" i="1" s="1"/>
  <c r="H192" i="1"/>
  <c r="H193" i="1"/>
  <c r="H194" i="1"/>
  <c r="H195" i="1"/>
  <c r="H196" i="1"/>
  <c r="H197" i="1"/>
  <c r="H198" i="1"/>
  <c r="H199" i="1"/>
  <c r="I199" i="1" s="1"/>
  <c r="H200" i="1"/>
  <c r="H201" i="1"/>
  <c r="H202" i="1"/>
  <c r="H203" i="1"/>
  <c r="H204" i="1"/>
  <c r="H205" i="1"/>
  <c r="H206" i="1"/>
  <c r="H207" i="1"/>
  <c r="I207" i="1" s="1"/>
  <c r="H208" i="1"/>
  <c r="H209" i="1"/>
  <c r="H210" i="1"/>
  <c r="H211" i="1"/>
  <c r="H212" i="1"/>
  <c r="H213" i="1"/>
  <c r="H214" i="1"/>
  <c r="H215" i="1"/>
  <c r="I215" i="1" s="1"/>
  <c r="H216" i="1"/>
  <c r="H217" i="1"/>
  <c r="H218" i="1"/>
  <c r="H219" i="1"/>
  <c r="H220" i="1"/>
  <c r="H221" i="1"/>
  <c r="H222" i="1"/>
  <c r="H223" i="1"/>
  <c r="I223" i="1" s="1"/>
  <c r="H224" i="1"/>
  <c r="H225" i="1"/>
  <c r="H226" i="1"/>
  <c r="H227" i="1"/>
  <c r="H228" i="1"/>
  <c r="H229" i="1"/>
  <c r="H230" i="1"/>
  <c r="H231" i="1"/>
  <c r="I231" i="1" s="1"/>
  <c r="H232" i="1"/>
  <c r="H233" i="1"/>
  <c r="H234" i="1"/>
  <c r="H235" i="1"/>
  <c r="H236" i="1"/>
  <c r="H237" i="1"/>
  <c r="H238" i="1"/>
  <c r="H239" i="1"/>
  <c r="I239" i="1" s="1"/>
  <c r="H240" i="1"/>
  <c r="H241" i="1"/>
  <c r="H242" i="1"/>
  <c r="H243" i="1"/>
  <c r="H244" i="1"/>
  <c r="H245" i="1"/>
  <c r="H246" i="1"/>
  <c r="H247" i="1"/>
  <c r="I247" i="1" s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23" i="1"/>
  <c r="H4" i="1"/>
  <c r="H5" i="1"/>
  <c r="I5" i="1" s="1"/>
  <c r="H6" i="1"/>
  <c r="I6" i="1" s="1"/>
  <c r="H7" i="1"/>
  <c r="H8" i="1"/>
  <c r="H9" i="1"/>
  <c r="H10" i="1"/>
  <c r="H11" i="1"/>
  <c r="I11" i="1" s="1"/>
  <c r="H12" i="1"/>
  <c r="H13" i="1"/>
  <c r="I13" i="1" s="1"/>
  <c r="H14" i="1"/>
  <c r="I14" i="1" s="1"/>
  <c r="H15" i="1"/>
  <c r="H16" i="1"/>
  <c r="H17" i="1"/>
  <c r="H18" i="1"/>
  <c r="H19" i="1"/>
  <c r="I19" i="1" s="1"/>
  <c r="H20" i="1"/>
  <c r="H21" i="1"/>
  <c r="I21" i="1" s="1"/>
  <c r="H22" i="1"/>
  <c r="I22" i="1" s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2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3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2" i="1"/>
  <c r="I7" i="1"/>
  <c r="I8" i="1"/>
  <c r="I9" i="1"/>
  <c r="I10" i="1"/>
  <c r="I12" i="1"/>
  <c r="I15" i="1"/>
  <c r="I16" i="1"/>
  <c r="I17" i="1"/>
  <c r="I18" i="1"/>
  <c r="I20" i="1"/>
  <c r="I23" i="1"/>
  <c r="I24" i="1"/>
  <c r="I25" i="1"/>
  <c r="I26" i="1"/>
  <c r="I27" i="1"/>
  <c r="I28" i="1"/>
  <c r="I29" i="1"/>
  <c r="I30" i="1"/>
  <c r="I32" i="1"/>
  <c r="I33" i="1"/>
  <c r="I34" i="1"/>
  <c r="I35" i="1"/>
  <c r="I36" i="1"/>
  <c r="I37" i="1"/>
  <c r="I38" i="1"/>
  <c r="I40" i="1"/>
  <c r="I41" i="1"/>
  <c r="I42" i="1"/>
  <c r="I43" i="1"/>
  <c r="I44" i="1"/>
  <c r="I45" i="1"/>
  <c r="I46" i="1"/>
  <c r="I48" i="1"/>
  <c r="I49" i="1"/>
  <c r="I50" i="1"/>
  <c r="I51" i="1"/>
  <c r="I52" i="1"/>
  <c r="I53" i="1"/>
  <c r="I54" i="1"/>
  <c r="I56" i="1"/>
  <c r="I57" i="1"/>
  <c r="I58" i="1"/>
  <c r="I59" i="1"/>
  <c r="I60" i="1"/>
  <c r="I61" i="1"/>
  <c r="I62" i="1"/>
  <c r="I64" i="1"/>
  <c r="I65" i="1"/>
  <c r="I66" i="1"/>
  <c r="I67" i="1"/>
  <c r="I68" i="1"/>
  <c r="I69" i="1"/>
  <c r="I70" i="1"/>
  <c r="I72" i="1"/>
  <c r="I73" i="1"/>
  <c r="I74" i="1"/>
  <c r="I75" i="1"/>
  <c r="I76" i="1"/>
  <c r="I77" i="1"/>
  <c r="I78" i="1"/>
  <c r="I80" i="1"/>
  <c r="I81" i="1"/>
  <c r="I82" i="1"/>
  <c r="I83" i="1"/>
  <c r="I84" i="1"/>
  <c r="I85" i="1"/>
  <c r="I86" i="1"/>
  <c r="I88" i="1"/>
  <c r="I89" i="1"/>
  <c r="I90" i="1"/>
  <c r="I91" i="1"/>
  <c r="I92" i="1"/>
  <c r="I93" i="1"/>
  <c r="I94" i="1"/>
  <c r="I96" i="1"/>
  <c r="I97" i="1"/>
  <c r="I98" i="1"/>
  <c r="I99" i="1"/>
  <c r="I100" i="1"/>
  <c r="I101" i="1"/>
  <c r="I102" i="1"/>
  <c r="I104" i="1"/>
  <c r="I105" i="1"/>
  <c r="I106" i="1"/>
  <c r="I107" i="1"/>
  <c r="I108" i="1"/>
  <c r="I109" i="1"/>
  <c r="I110" i="1"/>
  <c r="I112" i="1"/>
  <c r="I113" i="1"/>
  <c r="I114" i="1"/>
  <c r="I115" i="1"/>
  <c r="I116" i="1"/>
  <c r="I117" i="1"/>
  <c r="I118" i="1"/>
  <c r="I120" i="1"/>
  <c r="I121" i="1"/>
  <c r="I122" i="1"/>
  <c r="I123" i="1"/>
  <c r="I124" i="1"/>
  <c r="I125" i="1"/>
  <c r="I126" i="1"/>
  <c r="I128" i="1"/>
  <c r="I129" i="1"/>
  <c r="I130" i="1"/>
  <c r="I131" i="1"/>
  <c r="I132" i="1"/>
  <c r="I133" i="1"/>
  <c r="I134" i="1"/>
  <c r="I136" i="1"/>
  <c r="I137" i="1"/>
  <c r="I138" i="1"/>
  <c r="I139" i="1"/>
  <c r="I140" i="1"/>
  <c r="I141" i="1"/>
  <c r="I142" i="1"/>
  <c r="I144" i="1"/>
  <c r="I145" i="1"/>
  <c r="I146" i="1"/>
  <c r="I147" i="1"/>
  <c r="I148" i="1"/>
  <c r="I149" i="1"/>
  <c r="I150" i="1"/>
  <c r="I152" i="1"/>
  <c r="I153" i="1"/>
  <c r="I154" i="1"/>
  <c r="I155" i="1"/>
  <c r="I156" i="1"/>
  <c r="I157" i="1"/>
  <c r="I158" i="1"/>
  <c r="I160" i="1"/>
  <c r="I161" i="1"/>
  <c r="I162" i="1"/>
  <c r="I163" i="1"/>
  <c r="I164" i="1"/>
  <c r="I165" i="1"/>
  <c r="I166" i="1"/>
  <c r="I168" i="1"/>
  <c r="I169" i="1"/>
  <c r="I170" i="1"/>
  <c r="I171" i="1"/>
  <c r="I172" i="1"/>
  <c r="I173" i="1"/>
  <c r="I174" i="1"/>
  <c r="I176" i="1"/>
  <c r="I177" i="1"/>
  <c r="I178" i="1"/>
  <c r="I179" i="1"/>
  <c r="I180" i="1"/>
  <c r="I181" i="1"/>
  <c r="I182" i="1"/>
  <c r="I184" i="1"/>
  <c r="I185" i="1"/>
  <c r="I186" i="1"/>
  <c r="I187" i="1"/>
  <c r="I188" i="1"/>
  <c r="I189" i="1"/>
  <c r="I190" i="1"/>
  <c r="I192" i="1"/>
  <c r="I193" i="1"/>
  <c r="I194" i="1"/>
  <c r="I195" i="1"/>
  <c r="I196" i="1"/>
  <c r="I197" i="1"/>
  <c r="I198" i="1"/>
  <c r="I200" i="1"/>
  <c r="I201" i="1"/>
  <c r="I202" i="1"/>
  <c r="I203" i="1"/>
  <c r="I204" i="1"/>
  <c r="I205" i="1"/>
  <c r="I206" i="1"/>
  <c r="I208" i="1"/>
  <c r="I209" i="1"/>
  <c r="I210" i="1"/>
  <c r="I211" i="1"/>
  <c r="I212" i="1"/>
  <c r="I213" i="1"/>
  <c r="I214" i="1"/>
  <c r="I216" i="1"/>
  <c r="I217" i="1"/>
  <c r="I218" i="1"/>
  <c r="I219" i="1"/>
  <c r="I220" i="1"/>
  <c r="I221" i="1"/>
  <c r="I222" i="1"/>
  <c r="I224" i="1"/>
  <c r="I225" i="1"/>
  <c r="I226" i="1"/>
  <c r="I227" i="1"/>
  <c r="I228" i="1"/>
  <c r="I229" i="1"/>
  <c r="I230" i="1"/>
  <c r="I232" i="1"/>
  <c r="I233" i="1"/>
  <c r="I234" i="1"/>
  <c r="I235" i="1"/>
  <c r="I236" i="1"/>
  <c r="I237" i="1"/>
  <c r="I238" i="1"/>
  <c r="I240" i="1"/>
  <c r="I241" i="1"/>
  <c r="I242" i="1"/>
  <c r="I243" i="1"/>
  <c r="I244" i="1"/>
  <c r="I245" i="1"/>
  <c r="I246" i="1"/>
  <c r="I248" i="1"/>
  <c r="I4" i="1"/>
  <c r="D3" i="1" a="1"/>
  <c r="D20" i="1" a="1"/>
  <c r="D22" i="1" a="1"/>
  <c r="D21" i="1" a="1"/>
  <c r="D151" i="1" a="1"/>
  <c r="D72" i="1" a="1"/>
  <c r="D65" i="1" a="1"/>
  <c r="D78" i="1" a="1"/>
  <c r="D111" i="1" a="1"/>
  <c r="D200" i="1" a="1"/>
  <c r="D31" i="1" a="1"/>
  <c r="D259" i="1" a="1"/>
  <c r="D91" i="1" a="1"/>
  <c r="D269" i="1" a="1"/>
  <c r="D262" i="1" a="1"/>
  <c r="D279" i="1" a="1"/>
  <c r="D318" i="1" a="1"/>
  <c r="D46" i="1" a="1"/>
  <c r="D94" i="1" a="1"/>
  <c r="D106" i="1" a="1"/>
  <c r="D145" i="1" a="1"/>
  <c r="D137" i="1" a="1"/>
  <c r="D155" i="1" a="1"/>
  <c r="D316" i="1" a="1"/>
  <c r="D139" i="1" a="1"/>
  <c r="D88" i="1" a="1"/>
  <c r="D264" i="1" a="1"/>
  <c r="D116" i="1" a="1"/>
  <c r="D109" i="1" a="1"/>
  <c r="D122" i="1" a="1"/>
  <c r="D288" i="1" a="1"/>
  <c r="D353" i="1" a="1"/>
  <c r="D14" i="1" a="1"/>
  <c r="D135" i="1" a="1"/>
  <c r="D92" i="1" a="1"/>
  <c r="D85" i="1" a="1"/>
  <c r="D98" i="1" a="1"/>
  <c r="D192" i="1" a="1"/>
  <c r="D280" i="1" a="1"/>
  <c r="D25" i="1" a="1"/>
  <c r="D64" i="1" a="1"/>
  <c r="D321" i="1" a="1"/>
  <c r="D70" i="1" a="1"/>
  <c r="D79" i="1" a="1"/>
  <c r="D168" i="1" a="1"/>
  <c r="D38" i="1" a="1"/>
  <c r="D229" i="1" a="1"/>
  <c r="D286" i="1" a="1"/>
  <c r="D181" i="1" a="1"/>
  <c r="D99" i="1" a="1"/>
  <c r="D40" i="1" a="1"/>
  <c r="D150" i="1" a="1"/>
  <c r="D188" i="1" a="1"/>
  <c r="D128" i="1" a="1"/>
  <c r="D134" i="1" a="1"/>
  <c r="D19" i="1" a="1"/>
  <c r="D95" i="1" a="1"/>
  <c r="D162" i="1" a="1"/>
  <c r="D324" i="1" a="1"/>
  <c r="D153" i="1" a="1"/>
  <c r="D108" i="1" a="1"/>
  <c r="D114" i="1" a="1"/>
  <c r="D334" i="1" a="1"/>
  <c r="D18" i="1" a="1"/>
  <c r="D241" i="1" a="1"/>
  <c r="D251" i="1" a="1"/>
  <c r="D178" i="1" a="1"/>
  <c r="D206" i="1" a="1"/>
  <c r="D228" i="1" a="1"/>
  <c r="D138" i="1" a="1"/>
  <c r="D199" i="1" a="1"/>
  <c r="D175" i="1" a="1"/>
  <c r="D154" i="1" a="1"/>
  <c r="D204" i="1" a="1"/>
  <c r="D356" i="1" a="1"/>
  <c r="D194" i="1" a="1"/>
  <c r="D180" i="1" a="1"/>
  <c r="D43" i="1" a="1"/>
  <c r="D147" i="1" a="1"/>
  <c r="D120" i="1" a="1"/>
  <c r="D273" i="1" a="1"/>
  <c r="D327" i="1" a="1"/>
  <c r="D292" i="1" a="1"/>
  <c r="D345" i="1" a="1"/>
  <c r="D260" i="1" a="1"/>
  <c r="D203" i="1" a="1"/>
  <c r="D243" i="1" a="1"/>
  <c r="D59" i="1" a="1"/>
  <c r="D166" i="1" a="1"/>
  <c r="D249" i="1" a="1"/>
  <c r="D315" i="1" a="1"/>
  <c r="D277" i="1" a="1"/>
  <c r="D163" i="1" a="1"/>
  <c r="D246" i="1" a="1"/>
  <c r="D225" i="1" a="1"/>
  <c r="D51" i="1" a="1"/>
  <c r="D275" i="1" a="1"/>
  <c r="D254" i="1" a="1"/>
  <c r="D196" i="1" a="1"/>
  <c r="D73" i="1" a="1"/>
  <c r="D232" i="1" a="1"/>
  <c r="D17" i="1" a="1"/>
  <c r="D32" i="1" a="1"/>
  <c r="D278" i="1" a="1"/>
  <c r="D37" i="1" a="1"/>
  <c r="D267" i="1" a="1"/>
  <c r="D165" i="1" a="1"/>
  <c r="D307" i="1" a="1"/>
  <c r="D126" i="1" a="1"/>
  <c r="D247" i="1" a="1"/>
  <c r="D210" i="1" a="1"/>
  <c r="D118" i="1" a="1"/>
  <c r="D244" i="1" a="1"/>
  <c r="D90" i="1" a="1"/>
  <c r="D115" i="1" a="1"/>
  <c r="D66" i="1" a="1"/>
  <c r="D34" i="1" a="1"/>
  <c r="D299" i="1" a="1"/>
  <c r="D197" i="1" a="1"/>
  <c r="D104" i="1" a="1"/>
  <c r="D97" i="1" a="1"/>
  <c r="D110" i="1" a="1"/>
  <c r="D240" i="1" a="1"/>
  <c r="D328" i="1" a="1"/>
  <c r="D29" i="1" a="1"/>
  <c r="D332" i="1" a="1"/>
  <c r="D42" i="1" a="1"/>
  <c r="D301" i="1" a="1"/>
  <c r="D294" i="1" a="1"/>
  <c r="D311" i="1" a="1"/>
  <c r="D87" i="1" a="1"/>
  <c r="D33" i="1" a="1"/>
  <c r="D195" i="1" a="1"/>
  <c r="D271" i="1" a="1"/>
  <c r="D177" i="1" a="1"/>
  <c r="D170" i="1" a="1"/>
  <c r="D187" i="1" a="1"/>
  <c r="D83" i="1" a="1"/>
  <c r="D268" i="1" a="1"/>
  <c r="D185" i="1" a="1"/>
  <c r="D58" i="1" a="1"/>
  <c r="D149" i="1" a="1"/>
  <c r="D141" i="1" a="1"/>
  <c r="D159" i="1" a="1"/>
  <c r="D325" i="1" a="1"/>
  <c r="D156" i="1" a="1"/>
  <c r="D142" i="1" a="1"/>
  <c r="D300" i="1" a="1"/>
  <c r="D124" i="1" a="1"/>
  <c r="D117" i="1" a="1"/>
  <c r="D130" i="1" a="1"/>
  <c r="D314" i="1" a="1"/>
  <c r="D330" i="1" a="1"/>
  <c r="D15" i="1" a="1"/>
  <c r="D96" i="1" a="1"/>
  <c r="D89" i="1" a="1"/>
  <c r="D102" i="1" a="1"/>
  <c r="D208" i="1" a="1"/>
  <c r="D296" i="1" a="1"/>
  <c r="D30" i="1" a="1"/>
  <c r="D261" i="1" a="1"/>
  <c r="D207" i="1" a="1"/>
  <c r="D74" i="1" a="1"/>
  <c r="D217" i="1" a="1"/>
  <c r="D157" i="1" a="1"/>
  <c r="D338" i="1" a="1"/>
  <c r="D190" i="1" a="1"/>
  <c r="D121" i="1" a="1"/>
  <c r="D75" i="1" a="1"/>
  <c r="D293" i="1" a="1"/>
  <c r="D169" i="1" a="1"/>
  <c r="D236" i="1" a="1"/>
  <c r="D172" i="1" a="1"/>
  <c r="D101" i="1" a="1"/>
  <c r="D256" i="1" a="1"/>
  <c r="D304" i="1" a="1"/>
  <c r="D234" i="1" a="1"/>
  <c r="D53" i="1" a="1"/>
  <c r="D303" i="1" a="1"/>
  <c r="D223" i="1" a="1"/>
  <c r="D113" i="1" a="1"/>
  <c r="D189" i="1" a="1"/>
  <c r="D131" i="1" a="1"/>
  <c r="D161" i="1" a="1"/>
  <c r="D351" i="1" a="1"/>
  <c r="D61" i="1" a="1"/>
  <c r="D201" i="1" a="1"/>
  <c r="D281" i="1" a="1"/>
  <c r="D133" i="1" a="1"/>
  <c r="D123" i="1" a="1"/>
  <c r="D329" i="1" a="1"/>
  <c r="D283" i="1" a="1"/>
  <c r="D62" i="1" a="1"/>
  <c r="D238" i="1" a="1"/>
  <c r="D231" i="1" a="1"/>
  <c r="D186" i="1" a="1"/>
  <c r="D226" i="1" a="1"/>
  <c r="D28" i="1" a="1"/>
  <c r="D67" i="1" a="1"/>
  <c r="D335" i="1" a="1"/>
  <c r="D298" i="1" a="1"/>
  <c r="D220" i="1" a="1"/>
  <c r="D333" i="1" a="1"/>
  <c r="D253" i="1" a="1"/>
  <c r="D52" i="1" a="1"/>
  <c r="D276" i="1" a="1"/>
  <c r="D258" i="1" a="1"/>
  <c r="D205" i="1" a="1"/>
  <c r="D342" i="1" a="1"/>
  <c r="D80" i="1" a="1"/>
  <c r="D16" i="1" a="1"/>
  <c r="D302" i="1" a="1"/>
  <c r="D323" i="1" a="1"/>
  <c r="D295" i="1" a="1"/>
  <c r="D257" i="1" a="1"/>
  <c r="D56" i="1" a="1"/>
  <c r="D290" i="1" a="1"/>
  <c r="D237" i="1" a="1"/>
  <c r="D326" i="1" a="1"/>
  <c r="D26" i="1" a="1"/>
  <c r="D347" i="1" a="1"/>
  <c r="D77" i="1" a="1"/>
  <c r="D248" i="1" a="1"/>
  <c r="D60" i="1" a="1"/>
  <c r="D63" i="1" a="1"/>
  <c r="D289" i="1" a="1"/>
  <c r="D41" i="1" a="1"/>
  <c r="D136" i="1" a="1"/>
  <c r="D129" i="1" a="1"/>
  <c r="D143" i="1" a="1"/>
  <c r="D344" i="1" a="1"/>
  <c r="D107" i="1" a="1"/>
  <c r="AJ2" i="1" a="1"/>
  <c r="D340" i="1" a="1"/>
  <c r="D76" i="1" a="1"/>
  <c r="D69" i="1" a="1"/>
  <c r="D82" i="1" a="1"/>
  <c r="D127" i="1" a="1"/>
  <c r="D216" i="1" a="1"/>
  <c r="D12" i="1" a="1"/>
  <c r="D291" i="1" a="1"/>
  <c r="D164" i="1" a="1"/>
  <c r="D209" i="1" a="1"/>
  <c r="D202" i="1" a="1"/>
  <c r="D219" i="1" a="1"/>
  <c r="D212" i="1" a="1"/>
  <c r="D355" i="1" a="1"/>
  <c r="D313" i="1" a="1"/>
  <c r="D174" i="1" a="1"/>
  <c r="D191" i="1" a="1"/>
  <c r="D284" i="1" a="1"/>
  <c r="D167" i="1" a="1"/>
  <c r="D331" i="1" a="1"/>
  <c r="D179" i="1" a="1"/>
  <c r="D343" i="1" a="1"/>
  <c r="D339" i="1" a="1"/>
  <c r="D213" i="1" a="1"/>
  <c r="D349" i="1" a="1"/>
  <c r="D182" i="1" a="1"/>
  <c r="D312" i="1" a="1"/>
  <c r="D171" i="1" a="1"/>
  <c r="D68" i="1" a="1"/>
  <c r="D211" i="1" a="1"/>
  <c r="D336" i="1" a="1"/>
  <c r="D140" i="1" a="1"/>
  <c r="D350" i="1" a="1"/>
  <c r="D352" i="1" a="1"/>
  <c r="D266" i="1" a="1"/>
  <c r="D50" i="1" a="1"/>
  <c r="D245" i="1" a="1"/>
  <c r="D255" i="1" a="1"/>
  <c r="D44" i="1" a="1"/>
  <c r="D274" i="1" a="1"/>
  <c r="D224" i="1" a="1"/>
  <c r="D221" i="1" a="1"/>
  <c r="D214" i="1" a="1"/>
  <c r="D47" i="1" a="1"/>
  <c r="D239" i="1" a="1"/>
  <c r="D193" i="1" a="1"/>
  <c r="D148" i="1" a="1"/>
  <c r="D322" i="1" a="1"/>
  <c r="D100" i="1" a="1"/>
  <c r="D93" i="1" a="1"/>
  <c r="D55" i="1" a="1"/>
  <c r="D233" i="1" a="1"/>
  <c r="D306" i="1" a="1"/>
  <c r="D146" i="1" a="1"/>
  <c r="D173" i="1" a="1"/>
  <c r="D183" i="1" a="1"/>
  <c r="D252" i="1" a="1"/>
  <c r="D27" i="1" a="1"/>
  <c r="D305" i="1" a="1"/>
  <c r="D103" i="1" a="1"/>
  <c r="D35" i="1" a="1"/>
  <c r="D227" i="1" a="1"/>
  <c r="D270" i="1" a="1"/>
  <c r="D287" i="1" a="1"/>
  <c r="D54" i="1" a="1"/>
  <c r="D184" i="1" a="1"/>
  <c r="D263" i="1" a="1"/>
  <c r="D310" i="1" a="1"/>
  <c r="D341" i="1" a="1"/>
  <c r="D218" i="1" a="1"/>
  <c r="D235" i="1" a="1"/>
  <c r="D132" i="1" a="1"/>
  <c r="D125" i="1" a="1"/>
  <c r="D265" i="1" a="1"/>
  <c r="D308" i="1" a="1"/>
  <c r="D45" i="1" a="1"/>
  <c r="D242" i="1" a="1"/>
  <c r="D198" i="1" a="1"/>
  <c r="D215" i="1" a="1"/>
  <c r="D81" i="1" a="1"/>
  <c r="D48" i="1" a="1"/>
  <c r="D86" i="1" a="1"/>
  <c r="D144" i="1" a="1"/>
  <c r="D176" i="1" a="1"/>
  <c r="D309" i="1" a="1"/>
  <c r="D319" i="1" a="1"/>
  <c r="D119" i="1" a="1"/>
  <c r="D49" i="1" a="1"/>
  <c r="D285" i="1" a="1"/>
  <c r="D346" i="1" a="1"/>
  <c r="D320" i="1" a="1"/>
  <c r="D250" i="1" a="1"/>
  <c r="D354" i="1" a="1"/>
  <c r="D158" i="1" a="1"/>
  <c r="D297" i="1" a="1"/>
  <c r="D71" i="1" a="1"/>
  <c r="D36" i="1" a="1"/>
  <c r="D337" i="1" a="1"/>
  <c r="D230" i="1" a="1"/>
  <c r="D57" i="1" a="1"/>
  <c r="D112" i="1" a="1"/>
  <c r="D105" i="1" a="1"/>
  <c r="D272" i="1" a="1"/>
  <c r="D13" i="1" a="1"/>
  <c r="D84" i="1" a="1"/>
  <c r="D160" i="1" a="1"/>
  <c r="D24" i="1" a="1"/>
  <c r="D317" i="1" a="1"/>
  <c r="D152" i="1" a="1"/>
  <c r="D39" i="1" a="1"/>
  <c r="D282" i="1" a="1"/>
  <c r="D348" i="1" a="1"/>
  <c r="D222" i="1" a="1"/>
  <c r="D7" i="1" a="1"/>
  <c r="D4" i="1" a="1"/>
  <c r="D5" i="1" a="1"/>
  <c r="D9" i="1" a="1"/>
  <c r="D11" i="1" a="1"/>
  <c r="D6" i="1" a="1"/>
  <c r="D10" i="1" a="1"/>
  <c r="D8" i="1" a="1"/>
  <c r="D8" i="1" l="1"/>
  <c r="D10" i="1"/>
  <c r="D6" i="1"/>
  <c r="D11" i="1"/>
  <c r="D9" i="1"/>
  <c r="D5" i="1"/>
  <c r="D4" i="1"/>
  <c r="D7" i="1"/>
  <c r="D222" i="1"/>
  <c r="D348" i="1"/>
  <c r="D282" i="1"/>
  <c r="D39" i="1"/>
  <c r="D152" i="1"/>
  <c r="D317" i="1"/>
  <c r="D24" i="1"/>
  <c r="D160" i="1"/>
  <c r="D84" i="1"/>
  <c r="D13" i="1"/>
  <c r="D272" i="1"/>
  <c r="D105" i="1"/>
  <c r="D112" i="1"/>
  <c r="D57" i="1"/>
  <c r="D230" i="1"/>
  <c r="D337" i="1"/>
  <c r="D36" i="1"/>
  <c r="D71" i="1"/>
  <c r="D297" i="1"/>
  <c r="D158" i="1"/>
  <c r="D354" i="1"/>
  <c r="D250" i="1"/>
  <c r="D320" i="1"/>
  <c r="D346" i="1"/>
  <c r="D285" i="1"/>
  <c r="D49" i="1"/>
  <c r="D119" i="1"/>
  <c r="D319" i="1"/>
  <c r="D309" i="1"/>
  <c r="D176" i="1"/>
  <c r="D144" i="1"/>
  <c r="D86" i="1"/>
  <c r="D48" i="1"/>
  <c r="D81" i="1"/>
  <c r="D215" i="1"/>
  <c r="D198" i="1"/>
  <c r="D242" i="1"/>
  <c r="D45" i="1"/>
  <c r="D308" i="1"/>
  <c r="D265" i="1"/>
  <c r="D125" i="1"/>
  <c r="D132" i="1"/>
  <c r="D235" i="1"/>
  <c r="D218" i="1"/>
  <c r="D341" i="1"/>
  <c r="D310" i="1"/>
  <c r="D263" i="1"/>
  <c r="D184" i="1"/>
  <c r="D54" i="1"/>
  <c r="D287" i="1"/>
  <c r="D270" i="1"/>
  <c r="D227" i="1"/>
  <c r="D35" i="1"/>
  <c r="D103" i="1"/>
  <c r="D305" i="1"/>
  <c r="D27" i="1"/>
  <c r="D252" i="1"/>
  <c r="D183" i="1"/>
  <c r="D173" i="1"/>
  <c r="D146" i="1"/>
  <c r="D306" i="1"/>
  <c r="D233" i="1"/>
  <c r="D55" i="1"/>
  <c r="D93" i="1"/>
  <c r="D100" i="1"/>
  <c r="D322" i="1"/>
  <c r="D148" i="1"/>
  <c r="D193" i="1"/>
  <c r="D239" i="1"/>
  <c r="D47" i="1"/>
  <c r="D214" i="1"/>
  <c r="D221" i="1"/>
  <c r="D224" i="1"/>
  <c r="D274" i="1"/>
  <c r="D44" i="1"/>
  <c r="D255" i="1"/>
  <c r="D245" i="1"/>
  <c r="D50" i="1"/>
  <c r="D266" i="1"/>
  <c r="D352" i="1"/>
  <c r="D350" i="1"/>
  <c r="D140" i="1"/>
  <c r="D336" i="1"/>
  <c r="D211" i="1"/>
  <c r="D68" i="1"/>
  <c r="D171" i="1"/>
  <c r="D312" i="1"/>
  <c r="D182" i="1"/>
  <c r="D349" i="1"/>
  <c r="D213" i="1"/>
  <c r="D339" i="1"/>
  <c r="D343" i="1"/>
  <c r="D179" i="1"/>
  <c r="D331" i="1"/>
  <c r="D167" i="1"/>
  <c r="D284" i="1"/>
  <c r="D191" i="1"/>
  <c r="D174" i="1"/>
  <c r="D313" i="1"/>
  <c r="D355" i="1"/>
  <c r="D212" i="1"/>
  <c r="D219" i="1"/>
  <c r="D202" i="1"/>
  <c r="D209" i="1"/>
  <c r="D164" i="1"/>
  <c r="D291" i="1"/>
  <c r="D12" i="1"/>
  <c r="D216" i="1"/>
  <c r="D127" i="1"/>
  <c r="D82" i="1"/>
  <c r="D69" i="1"/>
  <c r="D76" i="1"/>
  <c r="D340" i="1"/>
  <c r="AJ2" i="1"/>
  <c r="D107" i="1"/>
  <c r="D344" i="1"/>
  <c r="D143" i="1"/>
  <c r="D129" i="1"/>
  <c r="D136" i="1"/>
  <c r="D41" i="1"/>
  <c r="D289" i="1"/>
  <c r="D63" i="1"/>
  <c r="D60" i="1"/>
  <c r="D248" i="1"/>
  <c r="D77" i="1"/>
  <c r="D347" i="1"/>
  <c r="D26" i="1"/>
  <c r="D326" i="1"/>
  <c r="D237" i="1"/>
  <c r="D290" i="1"/>
  <c r="D56" i="1"/>
  <c r="D257" i="1"/>
  <c r="D295" i="1"/>
  <c r="D323" i="1"/>
  <c r="D302" i="1"/>
  <c r="D16" i="1"/>
  <c r="D80" i="1"/>
  <c r="D342" i="1"/>
  <c r="D205" i="1"/>
  <c r="D258" i="1"/>
  <c r="D276" i="1"/>
  <c r="D52" i="1"/>
  <c r="D253" i="1"/>
  <c r="D333" i="1"/>
  <c r="D220" i="1"/>
  <c r="D298" i="1"/>
  <c r="D335" i="1"/>
  <c r="D67" i="1"/>
  <c r="D28" i="1"/>
  <c r="D226" i="1"/>
  <c r="D186" i="1"/>
  <c r="D231" i="1"/>
  <c r="D238" i="1"/>
  <c r="D62" i="1"/>
  <c r="D283" i="1"/>
  <c r="D329" i="1"/>
  <c r="D123" i="1"/>
  <c r="D133" i="1"/>
  <c r="D281" i="1"/>
  <c r="D201" i="1"/>
  <c r="D61" i="1"/>
  <c r="D351" i="1"/>
  <c r="D161" i="1"/>
  <c r="D131" i="1"/>
  <c r="D189" i="1"/>
  <c r="D113" i="1"/>
  <c r="D223" i="1"/>
  <c r="D303" i="1"/>
  <c r="D53" i="1"/>
  <c r="D234" i="1"/>
  <c r="D304" i="1"/>
  <c r="D256" i="1"/>
  <c r="D101" i="1"/>
  <c r="D172" i="1"/>
  <c r="D236" i="1"/>
  <c r="D169" i="1"/>
  <c r="D293" i="1"/>
  <c r="D75" i="1"/>
  <c r="D121" i="1"/>
  <c r="D190" i="1"/>
  <c r="D338" i="1"/>
  <c r="D157" i="1"/>
  <c r="D217" i="1"/>
  <c r="D74" i="1"/>
  <c r="D207" i="1"/>
  <c r="D261" i="1"/>
  <c r="D30" i="1"/>
  <c r="D296" i="1"/>
  <c r="D208" i="1"/>
  <c r="D102" i="1"/>
  <c r="D89" i="1"/>
  <c r="D96" i="1"/>
  <c r="D15" i="1"/>
  <c r="D330" i="1"/>
  <c r="D314" i="1"/>
  <c r="D130" i="1"/>
  <c r="D117" i="1"/>
  <c r="D124" i="1"/>
  <c r="D300" i="1"/>
  <c r="D142" i="1"/>
  <c r="D156" i="1"/>
  <c r="D325" i="1"/>
  <c r="D159" i="1"/>
  <c r="D141" i="1"/>
  <c r="D149" i="1"/>
  <c r="D58" i="1"/>
  <c r="D185" i="1"/>
  <c r="D268" i="1"/>
  <c r="D83" i="1"/>
  <c r="D187" i="1"/>
  <c r="D170" i="1"/>
  <c r="D177" i="1"/>
  <c r="D271" i="1"/>
  <c r="D195" i="1"/>
  <c r="D33" i="1"/>
  <c r="D87" i="1"/>
  <c r="D311" i="1"/>
  <c r="D294" i="1"/>
  <c r="D301" i="1"/>
  <c r="D42" i="1"/>
  <c r="D332" i="1"/>
  <c r="D29" i="1"/>
  <c r="D328" i="1"/>
  <c r="D240" i="1"/>
  <c r="D110" i="1"/>
  <c r="D97" i="1"/>
  <c r="D104" i="1"/>
  <c r="D197" i="1"/>
  <c r="D299" i="1"/>
  <c r="D34" i="1"/>
  <c r="D66" i="1"/>
  <c r="D115" i="1"/>
  <c r="D90" i="1"/>
  <c r="D244" i="1"/>
  <c r="D118" i="1"/>
  <c r="D210" i="1"/>
  <c r="D247" i="1"/>
  <c r="D126" i="1"/>
  <c r="D307" i="1"/>
  <c r="D165" i="1"/>
  <c r="D267" i="1"/>
  <c r="D37" i="1"/>
  <c r="D278" i="1"/>
  <c r="D32" i="1"/>
  <c r="D17" i="1"/>
  <c r="D232" i="1"/>
  <c r="D73" i="1"/>
  <c r="D196" i="1"/>
  <c r="D254" i="1"/>
  <c r="D275" i="1"/>
  <c r="D51" i="1"/>
  <c r="D225" i="1"/>
  <c r="D246" i="1"/>
  <c r="D163" i="1"/>
  <c r="D277" i="1"/>
  <c r="D315" i="1"/>
  <c r="D249" i="1"/>
  <c r="D166" i="1"/>
  <c r="D59" i="1"/>
  <c r="D243" i="1"/>
  <c r="D203" i="1"/>
  <c r="D260" i="1"/>
  <c r="D345" i="1"/>
  <c r="D292" i="1"/>
  <c r="D327" i="1"/>
  <c r="D273" i="1"/>
  <c r="D120" i="1"/>
  <c r="D147" i="1"/>
  <c r="D43" i="1"/>
  <c r="D180" i="1"/>
  <c r="D194" i="1"/>
  <c r="D356" i="1"/>
  <c r="D204" i="1"/>
  <c r="D154" i="1"/>
  <c r="D175" i="1"/>
  <c r="D199" i="1"/>
  <c r="D138" i="1"/>
  <c r="D228" i="1"/>
  <c r="D206" i="1"/>
  <c r="D178" i="1"/>
  <c r="D251" i="1"/>
  <c r="D241" i="1"/>
  <c r="D18" i="1"/>
  <c r="D334" i="1"/>
  <c r="D114" i="1"/>
  <c r="D108" i="1"/>
  <c r="D153" i="1"/>
  <c r="D324" i="1"/>
  <c r="D162" i="1"/>
  <c r="D95" i="1"/>
  <c r="D19" i="1"/>
  <c r="D134" i="1"/>
  <c r="D128" i="1"/>
  <c r="D188" i="1"/>
  <c r="D150" i="1"/>
  <c r="D40" i="1"/>
  <c r="D99" i="1"/>
  <c r="D181" i="1"/>
  <c r="D286" i="1"/>
  <c r="D229" i="1"/>
  <c r="D38" i="1"/>
  <c r="D168" i="1"/>
  <c r="D79" i="1"/>
  <c r="D70" i="1"/>
  <c r="D321" i="1"/>
  <c r="D64" i="1"/>
  <c r="D25" i="1"/>
  <c r="D280" i="1"/>
  <c r="D192" i="1"/>
  <c r="D98" i="1"/>
  <c r="D85" i="1"/>
  <c r="D92" i="1"/>
  <c r="D135" i="1"/>
  <c r="D14" i="1"/>
  <c r="D353" i="1"/>
  <c r="D288" i="1"/>
  <c r="D122" i="1"/>
  <c r="D109" i="1"/>
  <c r="D116" i="1"/>
  <c r="D264" i="1"/>
  <c r="D88" i="1"/>
  <c r="D139" i="1"/>
  <c r="D316" i="1"/>
  <c r="D155" i="1"/>
  <c r="D137" i="1"/>
  <c r="D145" i="1"/>
  <c r="D106" i="1"/>
  <c r="D94" i="1"/>
  <c r="D46" i="1"/>
  <c r="D318" i="1"/>
  <c r="D279" i="1"/>
  <c r="D262" i="1"/>
  <c r="D269" i="1"/>
  <c r="D91" i="1"/>
  <c r="D259" i="1"/>
  <c r="D31" i="1"/>
  <c r="D200" i="1"/>
  <c r="D111" i="1"/>
  <c r="D78" i="1"/>
  <c r="D65" i="1"/>
  <c r="D72" i="1"/>
  <c r="D151" i="1"/>
  <c r="D21" i="1"/>
  <c r="D22" i="1"/>
  <c r="D20" i="1"/>
  <c r="D3" i="1"/>
  <c r="E20" i="1" l="1"/>
  <c r="E321" i="1"/>
  <c r="E327" i="1"/>
  <c r="E267" i="1"/>
  <c r="E311" i="1"/>
  <c r="E293" i="1"/>
  <c r="E289" i="1"/>
  <c r="E324" i="1"/>
  <c r="E292" i="1"/>
  <c r="E268" i="1"/>
  <c r="E303" i="1"/>
  <c r="E16" i="1"/>
  <c r="E326" i="1"/>
  <c r="E284" i="1"/>
  <c r="E352" i="1"/>
  <c r="E346" i="1"/>
  <c r="E337" i="1"/>
  <c r="E345" i="1"/>
  <c r="E277" i="1"/>
  <c r="E307" i="1"/>
  <c r="E328" i="1"/>
  <c r="E300" i="1"/>
  <c r="E281" i="1"/>
  <c r="E302" i="1"/>
  <c r="E312" i="1"/>
  <c r="E305" i="1"/>
  <c r="E308" i="1"/>
  <c r="E320" i="1"/>
  <c r="E4" i="1"/>
  <c r="E15" i="1"/>
  <c r="E315" i="1"/>
  <c r="E333" i="1"/>
  <c r="E7" i="1"/>
  <c r="E21" i="1"/>
  <c r="E323" i="1"/>
  <c r="E347" i="1"/>
  <c r="E331" i="1"/>
  <c r="E310" i="1"/>
  <c r="E317" i="1"/>
  <c r="E5" i="1"/>
  <c r="E269" i="1"/>
  <c r="E17" i="1"/>
  <c r="E332" i="1"/>
  <c r="E338" i="1"/>
  <c r="E316" i="1"/>
  <c r="E286" i="1"/>
  <c r="E19" i="1"/>
  <c r="E18" i="1"/>
  <c r="E278" i="1"/>
  <c r="E301" i="1"/>
  <c r="E314" i="1"/>
  <c r="E304" i="1"/>
  <c r="E283" i="1"/>
  <c r="E335" i="1"/>
  <c r="E12" i="1"/>
  <c r="E313" i="1"/>
  <c r="E339" i="1"/>
  <c r="E336" i="1"/>
  <c r="E270" i="1"/>
  <c r="E297" i="1"/>
  <c r="E272" i="1"/>
  <c r="E282" i="1"/>
  <c r="E6" i="1"/>
  <c r="E299" i="1"/>
  <c r="E271" i="1"/>
  <c r="E276" i="1"/>
  <c r="E295" i="1"/>
  <c r="E306" i="1"/>
  <c r="E341" i="1"/>
  <c r="E309" i="1"/>
  <c r="E9" i="1"/>
  <c r="E288" i="1"/>
  <c r="E280" i="1"/>
  <c r="E334" i="1"/>
  <c r="E296" i="1"/>
  <c r="E329" i="1"/>
  <c r="E344" i="1"/>
  <c r="E343" i="1"/>
  <c r="E319" i="1"/>
  <c r="E11" i="1"/>
  <c r="E279" i="1"/>
  <c r="E3" i="1"/>
  <c r="H3" i="1"/>
  <c r="I3" i="1" s="1"/>
  <c r="E318" i="1"/>
  <c r="E14" i="1"/>
  <c r="E273" i="1"/>
  <c r="E275" i="1"/>
  <c r="E294" i="1"/>
  <c r="E325" i="1"/>
  <c r="E330" i="1"/>
  <c r="E351" i="1"/>
  <c r="E298" i="1"/>
  <c r="E342" i="1"/>
  <c r="E290" i="1"/>
  <c r="E291" i="1"/>
  <c r="E274" i="1"/>
  <c r="E322" i="1"/>
  <c r="E287" i="1"/>
  <c r="E13" i="1"/>
  <c r="E348" i="1"/>
  <c r="E10" i="1"/>
  <c r="E340" i="1"/>
  <c r="E349" i="1"/>
  <c r="E350" i="1"/>
  <c r="E285" i="1"/>
  <c r="E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<sst xmlns="http://schemas.openxmlformats.org/spreadsheetml/2006/main" count="255" uniqueCount="82">
  <si>
    <t>CMD</t>
  </si>
  <si>
    <t>INDEX</t>
  </si>
  <si>
    <t>Byteselect</t>
  </si>
  <si>
    <t>SNPRslt</t>
  </si>
  <si>
    <t>00C00006</t>
  </si>
  <si>
    <t>00000000</t>
  </si>
  <si>
    <t>00200001</t>
  </si>
  <si>
    <t>00400002</t>
  </si>
  <si>
    <t>00600003</t>
  </si>
  <si>
    <t>00800004</t>
  </si>
  <si>
    <t>00A00005</t>
  </si>
  <si>
    <t>00E00007</t>
  </si>
  <si>
    <t>TAG(binary)</t>
  </si>
  <si>
    <t>0000003F</t>
  </si>
  <si>
    <t>Binary</t>
  </si>
  <si>
    <t>ADDRESS(in hex)</t>
  </si>
  <si>
    <t>T2</t>
  </si>
  <si>
    <t>T3</t>
  </si>
  <si>
    <t>00200000</t>
  </si>
  <si>
    <t>00000002</t>
  </si>
  <si>
    <t>T4</t>
  </si>
  <si>
    <t>00000080</t>
  </si>
  <si>
    <t>00200080</t>
  </si>
  <si>
    <t>HIT/MISS</t>
  </si>
  <si>
    <t>HIT</t>
  </si>
  <si>
    <t>00400080</t>
  </si>
  <si>
    <t>00600080</t>
  </si>
  <si>
    <t>00800080</t>
  </si>
  <si>
    <t>00A00080</t>
  </si>
  <si>
    <t>00C00080</t>
  </si>
  <si>
    <t>00E00080</t>
  </si>
  <si>
    <t>T5</t>
  </si>
  <si>
    <t>00600000</t>
  </si>
  <si>
    <t>01000000</t>
  </si>
  <si>
    <t>T6</t>
  </si>
  <si>
    <t>00800006</t>
  </si>
  <si>
    <t>01000002</t>
  </si>
  <si>
    <t>MISS</t>
  </si>
  <si>
    <t>T7</t>
  </si>
  <si>
    <t>00800003</t>
  </si>
  <si>
    <t>T8</t>
  </si>
  <si>
    <t>00200002</t>
  </si>
  <si>
    <t>0020003F</t>
  </si>
  <si>
    <t>T9</t>
  </si>
  <si>
    <t>T10</t>
  </si>
  <si>
    <t>t11</t>
  </si>
  <si>
    <t>T12</t>
  </si>
  <si>
    <t>T13</t>
  </si>
  <si>
    <t>T14</t>
  </si>
  <si>
    <t>t16</t>
  </si>
  <si>
    <t>00000040</t>
  </si>
  <si>
    <t>000000C0</t>
  </si>
  <si>
    <t>t15</t>
  </si>
  <si>
    <t>00200003</t>
  </si>
  <si>
    <t>t17</t>
  </si>
  <si>
    <t>00600002</t>
  </si>
  <si>
    <t>00800000</t>
  </si>
  <si>
    <t>00A00000</t>
  </si>
  <si>
    <t>00400000</t>
  </si>
  <si>
    <t>t18</t>
  </si>
  <si>
    <t>00200041</t>
  </si>
  <si>
    <t>00400042</t>
  </si>
  <si>
    <t>00600043</t>
  </si>
  <si>
    <t>00800044</t>
  </si>
  <si>
    <t>00A00045</t>
  </si>
  <si>
    <t>00C00046</t>
  </si>
  <si>
    <t>00E00047</t>
  </si>
  <si>
    <t>PRINT</t>
  </si>
  <si>
    <t>Print</t>
  </si>
  <si>
    <t>miss</t>
  </si>
  <si>
    <t>print</t>
  </si>
  <si>
    <t>snoopread</t>
  </si>
  <si>
    <t>missconflict</t>
  </si>
  <si>
    <t>swim</t>
  </si>
  <si>
    <t>RDWIM/HIT</t>
  </si>
  <si>
    <t>write</t>
  </si>
  <si>
    <t>SnoopInval</t>
  </si>
  <si>
    <t>RWIM</t>
  </si>
  <si>
    <t>SNINVAL</t>
  </si>
  <si>
    <t>SNPRD</t>
  </si>
  <si>
    <t>SNPWRI</t>
  </si>
  <si>
    <t>miis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</si>
</sst>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7"/>
      <color rgb="FF454545"/>
      <name val="Courier New"/>
      <family val="3"/>
    </font>
    <font>
      <sz val="11"/>
      <color theme="9"/>
      <name val="Calibri"/>
      <family val="2"/>
      <scheme val="minor"/>
    </font>
    <font>
      <sz val="10"/>
      <color theme="9"/>
      <name val="Var(--ff-mono)"/>
    </font>
    <font>
      <sz val="8"/>
      <name val="Calibri"/>
      <family val="2"/>
      <scheme val="minor"/>
    </font>
    <font>
      <sz val="11"/>
      <color theme="4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3" fillId="0" borderId="0" xfId="0" applyFont="1"/>
    <xf numFmtId="0" fontId="1" fillId="0" borderId="0" xfId="0" applyFont="1"/>
    <xf numFmtId="0" fontId="4" fillId="0" borderId="0" xfId="0" applyFont="1"/>
    <xf numFmtId="0" fontId="5" fillId="0" borderId="0" xfId="0" applyFont="1" applyAlignment="1">
      <alignment horizontal="left" vertical="center"/>
    </xf>
    <xf numFmtId="0" fontId="7" fillId="0" borderId="0" xfId="0" applyFont="1"/>
    <xf numFmtId="49" fontId="0" fillId="0" borderId="0" xfId="0" applyNumberFormat="1" applyAlignment="1">
      <alignment vertical="center"/>
    </xf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B0A5D6-FE63-46F2-9079-0B933485F979}">
  <sheetPr codeName="Sheet1"/>
  <dimension ref="A1:AJ356"/>
  <sheetViews>
    <sheetView tabSelected="1" workbookViewId="0">
      <pane ySplit="1" topLeftCell="A266" activePane="bottomLeft" state="frozen"/>
      <selection pane="bottomLeft" activeCell="F57" sqref="F57"/>
    </sheetView>
  </sheetViews>
  <sheetFormatPr defaultRowHeight="14.5"/>
  <cols>
    <col min="3" max="3" width="17.36328125" style="7" customWidth="1"/>
    <col min="4" max="4" width="34.08984375" style="1" customWidth="1"/>
    <col min="5" max="5" width="23.7265625" style="6" customWidth="1"/>
    <col min="6" max="6" width="11.81640625" customWidth="1"/>
    <col min="7" max="7" width="30.1796875" style="3" customWidth="1"/>
    <col min="8" max="8" width="26.54296875" style="4" customWidth="1"/>
    <col min="9" max="9" width="53.7265625" customWidth="1"/>
    <col min="10" max="10" width="69.54296875" customWidth="1"/>
    <col min="36" max="36" width="65" customWidth="1"/>
  </cols>
  <sheetData>
    <row r="1" spans="1:36">
      <c r="B1" t="s">
        <v>0</v>
      </c>
      <c r="C1" s="7" t="s">
        <v>15</v>
      </c>
      <c r="D1" s="1" t="s">
        <v>14</v>
      </c>
      <c r="E1" s="6" t="s">
        <v>12</v>
      </c>
      <c r="F1" t="s">
        <v>23</v>
      </c>
      <c r="G1" s="3" t="s">
        <v>1</v>
      </c>
      <c r="H1" s="4" t="s">
        <v>2</v>
      </c>
      <c r="I1" t="s">
        <v>3</v>
      </c>
    </row>
    <row r="2" spans="1:36">
      <c r="AJ2" s="1" t="str" cm="1">
        <f t="array" ref="AJ2">MY_HEX2BIN(AI2)</f>
        <v/>
      </c>
    </row>
    <row r="3" spans="1:36">
      <c r="A3" t="s">
        <v>16</v>
      </c>
      <c r="B3">
        <v>0</v>
      </c>
      <c r="C3" s="8" t="s">
        <v>5</v>
      </c>
      <c r="D3" s="1" t="str" cm="1">
        <f t="array" ref="D3">MY_HEX2BIN(C3)</f>
        <v>00000000000000000000000000000000</v>
      </c>
      <c r="E3" s="6" t="str">
        <f>MID(D3,1,11)</f>
        <v>00000000000</v>
      </c>
      <c r="F3" t="s">
        <v>37</v>
      </c>
      <c r="G3" s="3" t="str">
        <f>MID(D3,12,15)</f>
        <v>000000000000000</v>
      </c>
      <c r="H3" s="5" t="str">
        <f>MID(D3,27,6)</f>
        <v>000000</v>
      </c>
      <c r="I3" t="str">
        <f>IF(OR(MID(H3,5,2)="10",OR(MID(H3,5,2)="11")),"NOHIT",IF(MID(H3,5,2)="00","HIT","HITM"))</f>
        <v>HIT</v>
      </c>
      <c r="J3" s="2"/>
    </row>
    <row r="4" spans="1:36">
      <c r="B4">
        <v>0</v>
      </c>
      <c r="C4" s="7" t="s">
        <v>6</v>
      </c>
      <c r="D4" s="1" t="str" cm="1">
        <f t="array" ref="D4">MY_HEX2BIN(C4)</f>
        <v>00000000001000000000000000000001</v>
      </c>
      <c r="E4" s="6" t="str">
        <f t="shared" ref="E4:E24" si="0">MID(D4,1,11)</f>
        <v>00000000001</v>
      </c>
      <c r="F4" t="s">
        <v>37</v>
      </c>
      <c r="G4" s="3" t="str">
        <f t="shared" ref="G4:G22" si="1">MID(D4,12,15)</f>
        <v>000000000000000</v>
      </c>
      <c r="H4" s="5" t="str">
        <f t="shared" ref="H4:H22" si="2">MID(D4,27,6)</f>
        <v>000001</v>
      </c>
      <c r="I4" t="str">
        <f t="shared" ref="I4:I67" si="3">IF(OR(MID(H4,5,2)="10",OR(MID(H4,5,2)="11")),"NOHIT",IF(MID(H4,5,2)="00","HIT","HITM"))</f>
        <v>HITM</v>
      </c>
    </row>
    <row r="5" spans="1:36">
      <c r="B5">
        <v>0</v>
      </c>
      <c r="C5" s="7" t="s">
        <v>7</v>
      </c>
      <c r="D5" s="1" t="str" cm="1">
        <f t="array" ref="D5">MY_HEX2BIN(C5)</f>
        <v>00000000010000000000000000000010</v>
      </c>
      <c r="E5" s="6" t="str">
        <f t="shared" si="0"/>
        <v>00000000010</v>
      </c>
      <c r="F5" t="s">
        <v>37</v>
      </c>
      <c r="G5" s="3" t="str">
        <f t="shared" si="1"/>
        <v>000000000000000</v>
      </c>
      <c r="H5" s="5" t="str">
        <f t="shared" si="2"/>
        <v>000010</v>
      </c>
      <c r="I5" t="str">
        <f t="shared" si="3"/>
        <v>NOHIT</v>
      </c>
    </row>
    <row r="6" spans="1:36">
      <c r="B6">
        <v>0</v>
      </c>
      <c r="C6" s="7" t="s">
        <v>8</v>
      </c>
      <c r="D6" s="1" t="str" cm="1">
        <f t="array" ref="D6">MY_HEX2BIN(C6)</f>
        <v>00000000011000000000000000000011</v>
      </c>
      <c r="E6" s="6" t="str">
        <f t="shared" si="0"/>
        <v>00000000011</v>
      </c>
      <c r="F6" t="s">
        <v>37</v>
      </c>
      <c r="G6" s="3" t="str">
        <f t="shared" si="1"/>
        <v>000000000000000</v>
      </c>
      <c r="H6" s="5" t="str">
        <f t="shared" si="2"/>
        <v>000011</v>
      </c>
      <c r="I6" t="str">
        <f t="shared" si="3"/>
        <v>NOHIT</v>
      </c>
    </row>
    <row r="7" spans="1:36">
      <c r="B7">
        <v>0</v>
      </c>
      <c r="C7" s="7" t="s">
        <v>9</v>
      </c>
      <c r="D7" s="1" t="str" cm="1">
        <f t="array" ref="D7">MY_HEX2BIN(C7)</f>
        <v>00000000100000000000000000000100</v>
      </c>
      <c r="E7" s="6" t="str">
        <f t="shared" si="0"/>
        <v>00000000100</v>
      </c>
      <c r="F7" t="s">
        <v>37</v>
      </c>
      <c r="G7" s="3" t="str">
        <f t="shared" si="1"/>
        <v>000000000000000</v>
      </c>
      <c r="H7" s="5" t="str">
        <f t="shared" si="2"/>
        <v>000100</v>
      </c>
      <c r="I7" t="str">
        <f t="shared" si="3"/>
        <v>HIT</v>
      </c>
    </row>
    <row r="8" spans="1:36">
      <c r="B8">
        <v>0</v>
      </c>
      <c r="C8" s="7" t="s">
        <v>10</v>
      </c>
      <c r="D8" s="1" t="str" cm="1">
        <f t="array" ref="D8">MY_HEX2BIN(C8)</f>
        <v>00000000101000000000000000000101</v>
      </c>
      <c r="E8" s="6" t="str">
        <f t="shared" si="0"/>
        <v>00000000101</v>
      </c>
      <c r="F8" t="s">
        <v>37</v>
      </c>
      <c r="G8" s="3" t="str">
        <f t="shared" si="1"/>
        <v>000000000000000</v>
      </c>
      <c r="H8" s="5" t="str">
        <f t="shared" si="2"/>
        <v>000101</v>
      </c>
      <c r="I8" t="str">
        <f t="shared" si="3"/>
        <v>HITM</v>
      </c>
    </row>
    <row r="9" spans="1:36">
      <c r="B9">
        <v>0</v>
      </c>
      <c r="C9" s="7" t="s">
        <v>4</v>
      </c>
      <c r="D9" s="1" t="str" cm="1">
        <f t="array" ref="D9">MY_HEX2BIN(C9)</f>
        <v>00000000110000000000000000000110</v>
      </c>
      <c r="E9" s="6" t="str">
        <f t="shared" si="0"/>
        <v>00000000110</v>
      </c>
      <c r="F9" t="s">
        <v>37</v>
      </c>
      <c r="G9" s="3" t="str">
        <f t="shared" si="1"/>
        <v>000000000000000</v>
      </c>
      <c r="H9" s="5" t="str">
        <f t="shared" si="2"/>
        <v>000110</v>
      </c>
      <c r="I9" t="str">
        <f t="shared" si="3"/>
        <v>NOHIT</v>
      </c>
    </row>
    <row r="10" spans="1:36">
      <c r="B10">
        <v>0</v>
      </c>
      <c r="C10" s="7" t="s">
        <v>11</v>
      </c>
      <c r="D10" s="1" t="str" cm="1">
        <f t="array" ref="D10">MY_HEX2BIN(C10)</f>
        <v>00000000111000000000000000000111</v>
      </c>
      <c r="E10" s="6" t="str">
        <f t="shared" si="0"/>
        <v>00000000111</v>
      </c>
      <c r="F10" t="s">
        <v>37</v>
      </c>
      <c r="G10" s="3" t="str">
        <f t="shared" si="1"/>
        <v>000000000000000</v>
      </c>
      <c r="H10" s="5" t="str">
        <f t="shared" si="2"/>
        <v>000111</v>
      </c>
      <c r="I10" t="str">
        <f t="shared" si="3"/>
        <v>NOHIT</v>
      </c>
    </row>
    <row r="11" spans="1:36">
      <c r="B11">
        <v>9</v>
      </c>
      <c r="C11" s="7" t="s">
        <v>5</v>
      </c>
      <c r="D11" s="1" t="str" cm="1">
        <f t="array" ref="D11">MY_HEX2BIN(C11)</f>
        <v>00000000000000000000000000000000</v>
      </c>
      <c r="E11" s="6" t="str">
        <f t="shared" si="0"/>
        <v>00000000000</v>
      </c>
      <c r="F11" t="s">
        <v>69</v>
      </c>
      <c r="G11" s="3" t="str">
        <f t="shared" si="1"/>
        <v>000000000000000</v>
      </c>
      <c r="H11" s="5" t="str">
        <f t="shared" si="2"/>
        <v>000000</v>
      </c>
      <c r="I11" t="str">
        <f t="shared" si="3"/>
        <v>HIT</v>
      </c>
    </row>
    <row r="12" spans="1:36">
      <c r="D12" s="1" t="str" cm="1">
        <f t="array" ref="D12">MY_HEX2BIN(C12)</f>
        <v/>
      </c>
      <c r="E12" s="6" t="str">
        <f t="shared" si="0"/>
        <v/>
      </c>
      <c r="G12" s="3" t="str">
        <f t="shared" si="1"/>
        <v/>
      </c>
      <c r="H12" s="5" t="str">
        <f t="shared" si="2"/>
        <v/>
      </c>
      <c r="I12" t="str">
        <f t="shared" si="3"/>
        <v>HITM</v>
      </c>
    </row>
    <row r="13" spans="1:36">
      <c r="D13" s="1" t="str" cm="1">
        <f t="array" ref="D13">MY_HEX2BIN(C13)</f>
        <v/>
      </c>
      <c r="E13" s="6" t="str">
        <f t="shared" si="0"/>
        <v/>
      </c>
      <c r="G13" s="3" t="str">
        <f t="shared" si="1"/>
        <v/>
      </c>
      <c r="H13" s="5" t="str">
        <f t="shared" si="2"/>
        <v/>
      </c>
      <c r="I13" t="str">
        <f t="shared" si="3"/>
        <v>HITM</v>
      </c>
    </row>
    <row r="14" spans="1:36">
      <c r="A14" t="s">
        <v>17</v>
      </c>
      <c r="B14">
        <v>2</v>
      </c>
      <c r="C14" s="7" t="s">
        <v>50</v>
      </c>
      <c r="D14" s="1" t="str" cm="1">
        <f t="array" ref="D14">MY_HEX2BIN(C14)</f>
        <v>00000000000000000000000001000000</v>
      </c>
      <c r="E14" s="6" t="str">
        <f t="shared" si="0"/>
        <v>00000000000</v>
      </c>
      <c r="F14" t="s">
        <v>37</v>
      </c>
      <c r="G14" s="3" t="str">
        <f t="shared" si="1"/>
        <v>000000000000001</v>
      </c>
      <c r="H14" s="5" t="str">
        <f t="shared" si="2"/>
        <v>000000</v>
      </c>
      <c r="I14" t="str">
        <f t="shared" si="3"/>
        <v>HIT</v>
      </c>
    </row>
    <row r="15" spans="1:36">
      <c r="B15">
        <v>2</v>
      </c>
      <c r="C15" s="7" t="s">
        <v>60</v>
      </c>
      <c r="D15" s="1" t="str" cm="1">
        <f t="array" ref="D15">MY_HEX2BIN(C15)</f>
        <v>00000000001000000000000001000001</v>
      </c>
      <c r="E15" s="6" t="str">
        <f t="shared" si="0"/>
        <v>00000000001</v>
      </c>
      <c r="F15" t="s">
        <v>37</v>
      </c>
      <c r="G15" s="3" t="str">
        <f t="shared" si="1"/>
        <v>000000000000001</v>
      </c>
      <c r="H15" s="5" t="str">
        <f t="shared" si="2"/>
        <v>000001</v>
      </c>
      <c r="I15" t="str">
        <f t="shared" si="3"/>
        <v>HITM</v>
      </c>
    </row>
    <row r="16" spans="1:36">
      <c r="B16">
        <v>2</v>
      </c>
      <c r="C16" s="7" t="s">
        <v>61</v>
      </c>
      <c r="D16" s="1" t="str" cm="1">
        <f t="array" ref="D16">MY_HEX2BIN(C16)</f>
        <v>00000000010000000000000001000010</v>
      </c>
      <c r="E16" s="6" t="str">
        <f t="shared" si="0"/>
        <v>00000000010</v>
      </c>
      <c r="F16" t="s">
        <v>37</v>
      </c>
      <c r="G16" s="3" t="str">
        <f t="shared" si="1"/>
        <v>000000000000001</v>
      </c>
      <c r="H16" s="5" t="str">
        <f t="shared" si="2"/>
        <v>000010</v>
      </c>
      <c r="I16" t="str">
        <f t="shared" si="3"/>
        <v>NOHIT</v>
      </c>
    </row>
    <row r="17" spans="1:9">
      <c r="B17">
        <v>2</v>
      </c>
      <c r="C17" s="7" t="s">
        <v>62</v>
      </c>
      <c r="D17" s="1" t="str" cm="1">
        <f t="array" ref="D17">MY_HEX2BIN(C17)</f>
        <v>00000000011000000000000001000011</v>
      </c>
      <c r="E17" s="6" t="str">
        <f t="shared" si="0"/>
        <v>00000000011</v>
      </c>
      <c r="F17" t="s">
        <v>37</v>
      </c>
      <c r="G17" s="3" t="str">
        <f t="shared" si="1"/>
        <v>000000000000001</v>
      </c>
      <c r="H17" s="5" t="str">
        <f t="shared" si="2"/>
        <v>000011</v>
      </c>
      <c r="I17" t="str">
        <f t="shared" si="3"/>
        <v>NOHIT</v>
      </c>
    </row>
    <row r="18" spans="1:9">
      <c r="B18">
        <v>2</v>
      </c>
      <c r="C18" s="7" t="s">
        <v>63</v>
      </c>
      <c r="D18" s="1" t="str" cm="1">
        <f t="array" ref="D18">MY_HEX2BIN(C18)</f>
        <v>00000000100000000000000001000100</v>
      </c>
      <c r="E18" s="6" t="str">
        <f t="shared" si="0"/>
        <v>00000000100</v>
      </c>
      <c r="F18" t="s">
        <v>37</v>
      </c>
      <c r="G18" s="3" t="str">
        <f t="shared" si="1"/>
        <v>000000000000001</v>
      </c>
      <c r="H18" s="5" t="str">
        <f t="shared" si="2"/>
        <v>000100</v>
      </c>
      <c r="I18" t="str">
        <f t="shared" si="3"/>
        <v>HIT</v>
      </c>
    </row>
    <row r="19" spans="1:9">
      <c r="B19">
        <v>2</v>
      </c>
      <c r="C19" s="7" t="s">
        <v>64</v>
      </c>
      <c r="D19" s="1" t="str" cm="1">
        <f t="array" ref="D19">MY_HEX2BIN(C19)</f>
        <v>00000000101000000000000001000101</v>
      </c>
      <c r="E19" s="6" t="str">
        <f t="shared" si="0"/>
        <v>00000000101</v>
      </c>
      <c r="F19" t="s">
        <v>37</v>
      </c>
      <c r="G19" s="3" t="str">
        <f t="shared" si="1"/>
        <v>000000000000001</v>
      </c>
      <c r="H19" s="5" t="str">
        <f t="shared" si="2"/>
        <v>000101</v>
      </c>
      <c r="I19" t="str">
        <f t="shared" si="3"/>
        <v>HITM</v>
      </c>
    </row>
    <row r="20" spans="1:9">
      <c r="B20">
        <v>2</v>
      </c>
      <c r="C20" s="7" t="s">
        <v>65</v>
      </c>
      <c r="D20" s="1" t="str" cm="1">
        <f t="array" ref="D20">MY_HEX2BIN(C20)</f>
        <v>00000000110000000000000001000110</v>
      </c>
      <c r="E20" s="6" t="str">
        <f t="shared" si="0"/>
        <v>00000000110</v>
      </c>
      <c r="F20" t="s">
        <v>37</v>
      </c>
      <c r="G20" s="3" t="str">
        <f t="shared" si="1"/>
        <v>000000000000001</v>
      </c>
      <c r="H20" s="5" t="str">
        <f t="shared" si="2"/>
        <v>000110</v>
      </c>
      <c r="I20" t="str">
        <f t="shared" si="3"/>
        <v>NOHIT</v>
      </c>
    </row>
    <row r="21" spans="1:9">
      <c r="B21">
        <v>2</v>
      </c>
      <c r="C21" s="7" t="s">
        <v>66</v>
      </c>
      <c r="D21" s="1" t="str" cm="1">
        <f t="array" ref="D21">MY_HEX2BIN(C21)</f>
        <v>00000000111000000000000001000111</v>
      </c>
      <c r="E21" s="6" t="str">
        <f t="shared" si="0"/>
        <v>00000000111</v>
      </c>
      <c r="F21" t="s">
        <v>37</v>
      </c>
      <c r="G21" s="3" t="str">
        <f t="shared" si="1"/>
        <v>000000000000001</v>
      </c>
      <c r="H21" s="5" t="str">
        <f t="shared" si="2"/>
        <v>000111</v>
      </c>
      <c r="I21" t="str">
        <f t="shared" si="3"/>
        <v>NOHIT</v>
      </c>
    </row>
    <row r="22" spans="1:9">
      <c r="B22">
        <v>9</v>
      </c>
      <c r="C22" s="7" t="s">
        <v>5</v>
      </c>
      <c r="D22" s="1" t="str" cm="1">
        <f t="array" ref="D22">MY_HEX2BIN(C22)</f>
        <v>00000000000000000000000000000000</v>
      </c>
      <c r="E22" s="6" t="str">
        <f>MID(D22,1,11)</f>
        <v>00000000000</v>
      </c>
      <c r="F22" t="s">
        <v>67</v>
      </c>
      <c r="G22" s="3" t="str">
        <f t="shared" si="1"/>
        <v>000000000000000</v>
      </c>
      <c r="H22" s="5" t="str">
        <f t="shared" si="2"/>
        <v>000000</v>
      </c>
      <c r="I22" t="str">
        <f t="shared" si="3"/>
        <v>HIT</v>
      </c>
    </row>
    <row r="23" spans="1:9">
      <c r="E23" s="6" t="str">
        <f t="shared" ref="E23:E86" si="4">MID(D23,1,11)</f>
        <v/>
      </c>
      <c r="G23" s="3" t="str">
        <f>MID(D23,12,15)</f>
        <v/>
      </c>
      <c r="H23" s="5" t="str">
        <f>MID(D23,27,6)</f>
        <v/>
      </c>
      <c r="I23" t="str">
        <f t="shared" si="3"/>
        <v>HITM</v>
      </c>
    </row>
    <row r="24" spans="1:9">
      <c r="D24" s="1" t="str" cm="1">
        <f t="array" ref="D24">MY_HEX2BIN(C24)</f>
        <v/>
      </c>
      <c r="E24" s="6" t="str">
        <f t="shared" si="4"/>
        <v/>
      </c>
      <c r="G24" s="3" t="str">
        <f t="shared" ref="G24:G87" si="5">MID(D24,12,15)</f>
        <v/>
      </c>
      <c r="H24" s="5" t="str">
        <f t="shared" ref="H24:H87" si="6">MID(D24,27,6)</f>
        <v/>
      </c>
      <c r="I24" t="str">
        <f t="shared" si="3"/>
        <v>HITM</v>
      </c>
    </row>
    <row r="25" spans="1:9">
      <c r="A25" t="s">
        <v>20</v>
      </c>
      <c r="B25">
        <v>9</v>
      </c>
      <c r="C25" s="7" t="s">
        <v>21</v>
      </c>
      <c r="D25" s="1" t="str" cm="1">
        <f t="array" ref="D25">MY_HEX2BIN(C25)</f>
        <v>00000000000000000000000010000000</v>
      </c>
      <c r="E25" s="6" t="str">
        <f t="shared" si="4"/>
        <v>00000000000</v>
      </c>
      <c r="F25" t="s">
        <v>67</v>
      </c>
      <c r="G25" s="3" t="str">
        <f t="shared" si="5"/>
        <v>000000000000010</v>
      </c>
      <c r="H25" s="5" t="str">
        <f t="shared" si="6"/>
        <v>000000</v>
      </c>
      <c r="I25" t="str">
        <f t="shared" si="3"/>
        <v>HIT</v>
      </c>
    </row>
    <row r="26" spans="1:9">
      <c r="B26">
        <v>1</v>
      </c>
      <c r="C26" s="7" t="s">
        <v>22</v>
      </c>
      <c r="D26" s="1" t="str" cm="1">
        <f t="array" ref="D26">MY_HEX2BIN(C26)</f>
        <v>00000000001000000000000010000000</v>
      </c>
      <c r="E26" s="6" t="str">
        <f t="shared" si="4"/>
        <v>00000000001</v>
      </c>
      <c r="F26" t="s">
        <v>37</v>
      </c>
      <c r="G26" s="3" t="str">
        <f t="shared" si="5"/>
        <v>000000000000010</v>
      </c>
      <c r="H26" s="5" t="str">
        <f t="shared" si="6"/>
        <v>000000</v>
      </c>
      <c r="I26" t="str">
        <f t="shared" si="3"/>
        <v>HIT</v>
      </c>
    </row>
    <row r="27" spans="1:9">
      <c r="B27">
        <v>1</v>
      </c>
      <c r="C27" s="7" t="s">
        <v>25</v>
      </c>
      <c r="D27" s="1" t="str" cm="1">
        <f t="array" ref="D27">MY_HEX2BIN(C27)</f>
        <v>00000000010000000000000010000000</v>
      </c>
      <c r="E27" s="6" t="str">
        <f t="shared" si="4"/>
        <v>00000000010</v>
      </c>
      <c r="F27" t="s">
        <v>37</v>
      </c>
      <c r="G27" s="3" t="str">
        <f t="shared" si="5"/>
        <v>000000000000010</v>
      </c>
      <c r="H27" s="5" t="str">
        <f t="shared" si="6"/>
        <v>000000</v>
      </c>
      <c r="I27" t="str">
        <f t="shared" si="3"/>
        <v>HIT</v>
      </c>
    </row>
    <row r="28" spans="1:9">
      <c r="B28">
        <v>1</v>
      </c>
      <c r="C28" s="7" t="s">
        <v>26</v>
      </c>
      <c r="D28" s="1" t="str" cm="1">
        <f t="array" ref="D28">MY_HEX2BIN(C28)</f>
        <v>00000000011000000000000010000000</v>
      </c>
      <c r="E28" s="6" t="str">
        <f t="shared" si="4"/>
        <v>00000000011</v>
      </c>
      <c r="F28" t="s">
        <v>37</v>
      </c>
      <c r="G28" s="3" t="str">
        <f t="shared" si="5"/>
        <v>000000000000010</v>
      </c>
      <c r="H28" s="5" t="str">
        <f t="shared" si="6"/>
        <v>000000</v>
      </c>
      <c r="I28" t="str">
        <f t="shared" si="3"/>
        <v>HIT</v>
      </c>
    </row>
    <row r="29" spans="1:9">
      <c r="B29">
        <v>1</v>
      </c>
      <c r="C29" s="7" t="s">
        <v>27</v>
      </c>
      <c r="D29" s="1" t="str" cm="1">
        <f t="array" ref="D29">MY_HEX2BIN(C29)</f>
        <v>00000000100000000000000010000000</v>
      </c>
      <c r="E29" s="6" t="str">
        <f t="shared" si="4"/>
        <v>00000000100</v>
      </c>
      <c r="F29" t="s">
        <v>37</v>
      </c>
      <c r="G29" s="3" t="str">
        <f t="shared" si="5"/>
        <v>000000000000010</v>
      </c>
      <c r="H29" s="5" t="str">
        <f t="shared" si="6"/>
        <v>000000</v>
      </c>
      <c r="I29" t="str">
        <f t="shared" si="3"/>
        <v>HIT</v>
      </c>
    </row>
    <row r="30" spans="1:9">
      <c r="B30">
        <v>1</v>
      </c>
      <c r="C30" s="7" t="s">
        <v>28</v>
      </c>
      <c r="D30" s="1" t="str" cm="1">
        <f t="array" ref="D30">MY_HEX2BIN(C30)</f>
        <v>00000000101000000000000010000000</v>
      </c>
      <c r="E30" s="6" t="str">
        <f t="shared" si="4"/>
        <v>00000000101</v>
      </c>
      <c r="F30" t="s">
        <v>37</v>
      </c>
      <c r="G30" s="3" t="str">
        <f t="shared" si="5"/>
        <v>000000000000010</v>
      </c>
      <c r="H30" s="5" t="str">
        <f t="shared" si="6"/>
        <v>000000</v>
      </c>
      <c r="I30" t="str">
        <f t="shared" si="3"/>
        <v>HIT</v>
      </c>
    </row>
    <row r="31" spans="1:9">
      <c r="B31">
        <v>1</v>
      </c>
      <c r="C31" s="7" t="s">
        <v>29</v>
      </c>
      <c r="D31" s="1" t="str" cm="1">
        <f t="array" ref="D31">MY_HEX2BIN(C31)</f>
        <v>00000000110000000000000010000000</v>
      </c>
      <c r="E31" s="6" t="str">
        <f t="shared" si="4"/>
        <v>00000000110</v>
      </c>
      <c r="F31" t="s">
        <v>37</v>
      </c>
      <c r="G31" s="3" t="str">
        <f t="shared" si="5"/>
        <v>000000000000010</v>
      </c>
      <c r="H31" s="5" t="str">
        <f t="shared" si="6"/>
        <v>000000</v>
      </c>
      <c r="I31" t="str">
        <f t="shared" si="3"/>
        <v>HIT</v>
      </c>
    </row>
    <row r="32" spans="1:9">
      <c r="B32">
        <v>1</v>
      </c>
      <c r="C32" s="7" t="s">
        <v>30</v>
      </c>
      <c r="D32" s="1" t="str" cm="1">
        <f t="array" ref="D32">MY_HEX2BIN(C32)</f>
        <v>00000000111000000000000010000000</v>
      </c>
      <c r="E32" s="6" t="str">
        <f t="shared" si="4"/>
        <v>00000000111</v>
      </c>
      <c r="F32" t="s">
        <v>37</v>
      </c>
      <c r="G32" s="3" t="str">
        <f t="shared" si="5"/>
        <v>000000000000010</v>
      </c>
      <c r="H32" s="5" t="str">
        <f t="shared" si="6"/>
        <v>000000</v>
      </c>
      <c r="I32" t="str">
        <f t="shared" si="3"/>
        <v>HIT</v>
      </c>
    </row>
    <row r="33" spans="1:9">
      <c r="B33">
        <v>9</v>
      </c>
      <c r="C33" s="7" t="s">
        <v>5</v>
      </c>
      <c r="D33" s="1" t="str" cm="1">
        <f t="array" ref="D33">MY_HEX2BIN(C33)</f>
        <v>00000000000000000000000000000000</v>
      </c>
      <c r="E33" s="6" t="str">
        <f t="shared" si="4"/>
        <v>00000000000</v>
      </c>
      <c r="F33" t="s">
        <v>67</v>
      </c>
      <c r="G33" s="3" t="str">
        <f t="shared" si="5"/>
        <v>000000000000000</v>
      </c>
      <c r="H33" s="5" t="str">
        <f t="shared" si="6"/>
        <v>000000</v>
      </c>
      <c r="I33" t="str">
        <f t="shared" si="3"/>
        <v>HIT</v>
      </c>
    </row>
    <row r="34" spans="1:9">
      <c r="D34" s="1" t="str" cm="1">
        <f t="array" ref="D34">MY_HEX2BIN(C34)</f>
        <v/>
      </c>
      <c r="E34" s="6" t="str">
        <f t="shared" si="4"/>
        <v/>
      </c>
      <c r="G34" s="3" t="str">
        <f t="shared" si="5"/>
        <v/>
      </c>
      <c r="H34" s="5" t="str">
        <f t="shared" si="6"/>
        <v/>
      </c>
      <c r="I34" t="str">
        <f t="shared" si="3"/>
        <v>HITM</v>
      </c>
    </row>
    <row r="35" spans="1:9">
      <c r="A35" t="s">
        <v>31</v>
      </c>
      <c r="B35">
        <v>0</v>
      </c>
      <c r="C35" s="7" t="s">
        <v>5</v>
      </c>
      <c r="D35" s="1" t="str" cm="1">
        <f t="array" ref="D35">MY_HEX2BIN(C35)</f>
        <v>00000000000000000000000000000000</v>
      </c>
      <c r="E35" s="6" t="str">
        <f t="shared" si="4"/>
        <v>00000000000</v>
      </c>
      <c r="F35" t="s">
        <v>37</v>
      </c>
      <c r="G35" s="3" t="str">
        <f t="shared" si="5"/>
        <v>000000000000000</v>
      </c>
      <c r="H35" s="5" t="str">
        <f t="shared" si="6"/>
        <v>000000</v>
      </c>
      <c r="I35" t="str">
        <f t="shared" si="3"/>
        <v>HIT</v>
      </c>
    </row>
    <row r="36" spans="1:9">
      <c r="B36">
        <v>0</v>
      </c>
      <c r="C36" s="7" t="s">
        <v>6</v>
      </c>
      <c r="D36" s="1" t="str" cm="1">
        <f t="array" ref="D36">MY_HEX2BIN(C36)</f>
        <v>00000000001000000000000000000001</v>
      </c>
      <c r="E36" s="6" t="str">
        <f t="shared" si="4"/>
        <v>00000000001</v>
      </c>
      <c r="F36" t="s">
        <v>37</v>
      </c>
      <c r="G36" s="3" t="str">
        <f t="shared" si="5"/>
        <v>000000000000000</v>
      </c>
      <c r="H36" s="5" t="str">
        <f t="shared" si="6"/>
        <v>000001</v>
      </c>
      <c r="I36" t="str">
        <f t="shared" si="3"/>
        <v>HITM</v>
      </c>
    </row>
    <row r="37" spans="1:9">
      <c r="B37">
        <v>0</v>
      </c>
      <c r="C37" s="7" t="s">
        <v>7</v>
      </c>
      <c r="D37" s="1" t="str" cm="1">
        <f t="array" ref="D37">MY_HEX2BIN(C37)</f>
        <v>00000000010000000000000000000010</v>
      </c>
      <c r="E37" s="6" t="str">
        <f t="shared" si="4"/>
        <v>00000000010</v>
      </c>
      <c r="F37" t="s">
        <v>37</v>
      </c>
      <c r="G37" s="3" t="str">
        <f t="shared" si="5"/>
        <v>000000000000000</v>
      </c>
      <c r="H37" s="5" t="str">
        <f t="shared" si="6"/>
        <v>000010</v>
      </c>
      <c r="I37" t="str">
        <f t="shared" si="3"/>
        <v>NOHIT</v>
      </c>
    </row>
    <row r="38" spans="1:9">
      <c r="B38">
        <v>0</v>
      </c>
      <c r="C38" s="7" t="s">
        <v>8</v>
      </c>
      <c r="D38" s="1" t="str" cm="1">
        <f t="array" ref="D38">MY_HEX2BIN(C38)</f>
        <v>00000000011000000000000000000011</v>
      </c>
      <c r="E38" s="6" t="str">
        <f t="shared" si="4"/>
        <v>00000000011</v>
      </c>
      <c r="F38" t="s">
        <v>37</v>
      </c>
      <c r="G38" s="3" t="str">
        <f t="shared" si="5"/>
        <v>000000000000000</v>
      </c>
      <c r="H38" s="5" t="str">
        <f t="shared" si="6"/>
        <v>000011</v>
      </c>
      <c r="I38" t="str">
        <f t="shared" si="3"/>
        <v>NOHIT</v>
      </c>
    </row>
    <row r="39" spans="1:9">
      <c r="B39">
        <v>0</v>
      </c>
      <c r="C39" s="7" t="s">
        <v>9</v>
      </c>
      <c r="D39" s="1" t="str" cm="1">
        <f t="array" ref="D39">MY_HEX2BIN(C39)</f>
        <v>00000000100000000000000000000100</v>
      </c>
      <c r="E39" s="6" t="str">
        <f t="shared" si="4"/>
        <v>00000000100</v>
      </c>
      <c r="F39" t="s">
        <v>37</v>
      </c>
      <c r="G39" s="3" t="str">
        <f t="shared" si="5"/>
        <v>000000000000000</v>
      </c>
      <c r="H39" s="5" t="str">
        <f t="shared" si="6"/>
        <v>000100</v>
      </c>
      <c r="I39" t="str">
        <f t="shared" si="3"/>
        <v>HIT</v>
      </c>
    </row>
    <row r="40" spans="1:9">
      <c r="B40">
        <v>0</v>
      </c>
      <c r="C40" s="7" t="s">
        <v>10</v>
      </c>
      <c r="D40" s="1" t="str" cm="1">
        <f t="array" ref="D40">MY_HEX2BIN(C40)</f>
        <v>00000000101000000000000000000101</v>
      </c>
      <c r="E40" s="6" t="str">
        <f t="shared" si="4"/>
        <v>00000000101</v>
      </c>
      <c r="F40" t="s">
        <v>37</v>
      </c>
      <c r="G40" s="3" t="str">
        <f t="shared" si="5"/>
        <v>000000000000000</v>
      </c>
      <c r="H40" s="5" t="str">
        <f t="shared" si="6"/>
        <v>000101</v>
      </c>
      <c r="I40" t="str">
        <f t="shared" si="3"/>
        <v>HITM</v>
      </c>
    </row>
    <row r="41" spans="1:9">
      <c r="B41">
        <v>0</v>
      </c>
      <c r="C41" s="7" t="s">
        <v>4</v>
      </c>
      <c r="D41" s="1" t="str" cm="1">
        <f t="array" ref="D41">MY_HEX2BIN(C41)</f>
        <v>00000000110000000000000000000110</v>
      </c>
      <c r="E41" s="6" t="str">
        <f t="shared" si="4"/>
        <v>00000000110</v>
      </c>
      <c r="F41" t="s">
        <v>37</v>
      </c>
      <c r="G41" s="3" t="str">
        <f t="shared" si="5"/>
        <v>000000000000000</v>
      </c>
      <c r="H41" s="5" t="str">
        <f t="shared" si="6"/>
        <v>000110</v>
      </c>
      <c r="I41" t="str">
        <f t="shared" si="3"/>
        <v>NOHIT</v>
      </c>
    </row>
    <row r="42" spans="1:9">
      <c r="B42">
        <v>0</v>
      </c>
      <c r="C42" s="7" t="s">
        <v>11</v>
      </c>
      <c r="D42" s="1" t="str" cm="1">
        <f t="array" ref="D42">MY_HEX2BIN(C42)</f>
        <v>00000000111000000000000000000111</v>
      </c>
      <c r="E42" s="6" t="str">
        <f t="shared" si="4"/>
        <v>00000000111</v>
      </c>
      <c r="F42" t="s">
        <v>37</v>
      </c>
      <c r="G42" s="3" t="str">
        <f t="shared" si="5"/>
        <v>000000000000000</v>
      </c>
      <c r="H42" s="5" t="str">
        <f t="shared" si="6"/>
        <v>000111</v>
      </c>
      <c r="I42" t="str">
        <f t="shared" si="3"/>
        <v>NOHIT</v>
      </c>
    </row>
    <row r="43" spans="1:9">
      <c r="B43">
        <v>1</v>
      </c>
      <c r="C43" s="7" t="s">
        <v>32</v>
      </c>
      <c r="D43" s="1" t="str" cm="1">
        <f t="array" ref="D43">MY_HEX2BIN(C43)</f>
        <v>00000000011000000000000000000000</v>
      </c>
      <c r="E43" s="6" t="str">
        <f t="shared" si="4"/>
        <v>00000000011</v>
      </c>
      <c r="F43" t="s">
        <v>81</v>
      </c>
      <c r="G43" s="3" t="str">
        <f t="shared" si="5"/>
        <v>000000000000000</v>
      </c>
      <c r="H43" s="5" t="str">
        <f t="shared" si="6"/>
        <v>000000</v>
      </c>
      <c r="I43" t="str">
        <f t="shared" si="3"/>
        <v>HIT</v>
      </c>
    </row>
    <row r="44" spans="1:9">
      <c r="B44">
        <v>9</v>
      </c>
      <c r="C44" s="7" t="s">
        <v>5</v>
      </c>
      <c r="D44" s="1" t="str" cm="1">
        <f t="array" ref="D44">MY_HEX2BIN(C44)</f>
        <v>00000000000000000000000000000000</v>
      </c>
      <c r="E44" s="6" t="str">
        <f t="shared" si="4"/>
        <v>00000000000</v>
      </c>
      <c r="F44" t="s">
        <v>70</v>
      </c>
      <c r="G44" s="3" t="str">
        <f t="shared" si="5"/>
        <v>000000000000000</v>
      </c>
      <c r="H44" s="5" t="str">
        <f t="shared" si="6"/>
        <v>000000</v>
      </c>
      <c r="I44" t="str">
        <f t="shared" si="3"/>
        <v>HIT</v>
      </c>
    </row>
    <row r="45" spans="1:9">
      <c r="B45">
        <v>0</v>
      </c>
      <c r="C45" s="7" t="s">
        <v>33</v>
      </c>
      <c r="D45" s="1" t="str" cm="1">
        <f t="array" ref="D45">MY_HEX2BIN(C45)</f>
        <v>00000001000000000000000000000000</v>
      </c>
      <c r="E45" s="6" t="str">
        <f t="shared" si="4"/>
        <v>00000001000</v>
      </c>
      <c r="F45" t="s">
        <v>37</v>
      </c>
      <c r="G45" s="3" t="str">
        <f t="shared" si="5"/>
        <v>000000000000000</v>
      </c>
      <c r="H45" s="5" t="str">
        <f t="shared" si="6"/>
        <v>000000</v>
      </c>
      <c r="I45" t="str">
        <f t="shared" si="3"/>
        <v>HIT</v>
      </c>
    </row>
    <row r="46" spans="1:9">
      <c r="B46">
        <v>9</v>
      </c>
      <c r="C46" s="7" t="s">
        <v>5</v>
      </c>
      <c r="D46" s="1" t="str" cm="1">
        <f t="array" ref="D46">MY_HEX2BIN(C46)</f>
        <v>00000000000000000000000000000000</v>
      </c>
      <c r="E46" s="6" t="str">
        <f t="shared" si="4"/>
        <v>00000000000</v>
      </c>
      <c r="F46" t="s">
        <v>68</v>
      </c>
      <c r="G46" s="3" t="str">
        <f t="shared" si="5"/>
        <v>000000000000000</v>
      </c>
      <c r="H46" s="5" t="str">
        <f t="shared" si="6"/>
        <v>000000</v>
      </c>
      <c r="I46" t="str">
        <f t="shared" si="3"/>
        <v>HIT</v>
      </c>
    </row>
    <row r="47" spans="1:9">
      <c r="D47" s="1" t="str" cm="1">
        <f t="array" ref="D47">MY_HEX2BIN(C47)</f>
        <v/>
      </c>
      <c r="E47" s="6" t="str">
        <f t="shared" si="4"/>
        <v/>
      </c>
      <c r="G47" s="3" t="str">
        <f t="shared" si="5"/>
        <v/>
      </c>
      <c r="H47" s="5" t="str">
        <f t="shared" si="6"/>
        <v/>
      </c>
      <c r="I47" t="str">
        <f t="shared" si="3"/>
        <v>HITM</v>
      </c>
    </row>
    <row r="48" spans="1:9">
      <c r="A48" t="s">
        <v>34</v>
      </c>
      <c r="B48">
        <v>0</v>
      </c>
      <c r="C48" s="7" t="s">
        <v>5</v>
      </c>
      <c r="D48" s="1" t="str" cm="1">
        <f t="array" ref="D48">MY_HEX2BIN(C48)</f>
        <v>00000000000000000000000000000000</v>
      </c>
      <c r="E48" s="6" t="str">
        <f t="shared" si="4"/>
        <v>00000000000</v>
      </c>
      <c r="F48" t="s">
        <v>37</v>
      </c>
      <c r="G48" s="3" t="str">
        <f t="shared" si="5"/>
        <v>000000000000000</v>
      </c>
      <c r="H48" s="5" t="str">
        <f t="shared" si="6"/>
        <v>000000</v>
      </c>
      <c r="I48" t="str">
        <f t="shared" si="3"/>
        <v>HIT</v>
      </c>
    </row>
    <row r="49" spans="1:9">
      <c r="B49">
        <v>0</v>
      </c>
      <c r="C49" s="7" t="s">
        <v>6</v>
      </c>
      <c r="D49" s="1" t="str" cm="1">
        <f t="array" ref="D49">MY_HEX2BIN(C49)</f>
        <v>00000000001000000000000000000001</v>
      </c>
      <c r="E49" s="6" t="str">
        <f t="shared" si="4"/>
        <v>00000000001</v>
      </c>
      <c r="F49" t="s">
        <v>37</v>
      </c>
      <c r="G49" s="3" t="str">
        <f t="shared" si="5"/>
        <v>000000000000000</v>
      </c>
      <c r="H49" s="5" t="str">
        <f t="shared" si="6"/>
        <v>000001</v>
      </c>
      <c r="I49" t="str">
        <f t="shared" si="3"/>
        <v>HITM</v>
      </c>
    </row>
    <row r="50" spans="1:9">
      <c r="B50">
        <v>0</v>
      </c>
      <c r="C50" s="7" t="s">
        <v>7</v>
      </c>
      <c r="D50" s="1" t="str" cm="1">
        <f t="array" ref="D50">MY_HEX2BIN(C50)</f>
        <v>00000000010000000000000000000010</v>
      </c>
      <c r="E50" s="6" t="str">
        <f t="shared" si="4"/>
        <v>00000000010</v>
      </c>
      <c r="F50" t="s">
        <v>37</v>
      </c>
      <c r="G50" s="3" t="str">
        <f t="shared" si="5"/>
        <v>000000000000000</v>
      </c>
      <c r="H50" s="5" t="str">
        <f t="shared" si="6"/>
        <v>000010</v>
      </c>
      <c r="I50" t="str">
        <f t="shared" si="3"/>
        <v>NOHIT</v>
      </c>
    </row>
    <row r="51" spans="1:9">
      <c r="B51">
        <v>0</v>
      </c>
      <c r="C51" s="7" t="s">
        <v>8</v>
      </c>
      <c r="D51" s="1" t="str" cm="1">
        <f t="array" ref="D51">MY_HEX2BIN(C51)</f>
        <v>00000000011000000000000000000011</v>
      </c>
      <c r="E51" s="6" t="str">
        <f t="shared" si="4"/>
        <v>00000000011</v>
      </c>
      <c r="F51" t="s">
        <v>37</v>
      </c>
      <c r="G51" s="3" t="str">
        <f t="shared" si="5"/>
        <v>000000000000000</v>
      </c>
      <c r="H51" s="5" t="str">
        <f t="shared" si="6"/>
        <v>000011</v>
      </c>
      <c r="I51" t="str">
        <f t="shared" si="3"/>
        <v>NOHIT</v>
      </c>
    </row>
    <row r="52" spans="1:9">
      <c r="B52">
        <v>0</v>
      </c>
      <c r="C52" s="7" t="s">
        <v>9</v>
      </c>
      <c r="D52" s="1" t="str" cm="1">
        <f t="array" ref="D52">MY_HEX2BIN(C52)</f>
        <v>00000000100000000000000000000100</v>
      </c>
      <c r="E52" s="6" t="str">
        <f t="shared" si="4"/>
        <v>00000000100</v>
      </c>
      <c r="F52" t="s">
        <v>37</v>
      </c>
      <c r="G52" s="3" t="str">
        <f t="shared" si="5"/>
        <v>000000000000000</v>
      </c>
      <c r="H52" s="5" t="str">
        <f t="shared" si="6"/>
        <v>000100</v>
      </c>
      <c r="I52" t="str">
        <f t="shared" si="3"/>
        <v>HIT</v>
      </c>
    </row>
    <row r="53" spans="1:9">
      <c r="B53">
        <v>0</v>
      </c>
      <c r="C53" s="7" t="s">
        <v>10</v>
      </c>
      <c r="D53" s="1" t="str" cm="1">
        <f t="array" ref="D53">MY_HEX2BIN(C53)</f>
        <v>00000000101000000000000000000101</v>
      </c>
      <c r="E53" s="6" t="str">
        <f t="shared" si="4"/>
        <v>00000000101</v>
      </c>
      <c r="F53" t="s">
        <v>37</v>
      </c>
      <c r="G53" s="3" t="str">
        <f t="shared" si="5"/>
        <v>000000000000000</v>
      </c>
      <c r="H53" s="5" t="str">
        <f t="shared" si="6"/>
        <v>000101</v>
      </c>
      <c r="I53" t="str">
        <f t="shared" si="3"/>
        <v>HITM</v>
      </c>
    </row>
    <row r="54" spans="1:9">
      <c r="B54">
        <v>0</v>
      </c>
      <c r="C54" s="7" t="s">
        <v>4</v>
      </c>
      <c r="D54" s="1" t="str" cm="1">
        <f t="array" ref="D54">MY_HEX2BIN(C54)</f>
        <v>00000000110000000000000000000110</v>
      </c>
      <c r="E54" s="6" t="str">
        <f t="shared" si="4"/>
        <v>00000000110</v>
      </c>
      <c r="F54" t="s">
        <v>37</v>
      </c>
      <c r="G54" s="3" t="str">
        <f t="shared" si="5"/>
        <v>000000000000000</v>
      </c>
      <c r="H54" s="5" t="str">
        <f t="shared" si="6"/>
        <v>000110</v>
      </c>
      <c r="I54" t="str">
        <f t="shared" si="3"/>
        <v>NOHIT</v>
      </c>
    </row>
    <row r="55" spans="1:9">
      <c r="B55">
        <v>0</v>
      </c>
      <c r="C55" s="7" t="s">
        <v>11</v>
      </c>
      <c r="D55" s="1" t="str" cm="1">
        <f t="array" ref="D55">MY_HEX2BIN(C55)</f>
        <v>00000000111000000000000000000111</v>
      </c>
      <c r="E55" s="6" t="str">
        <f t="shared" si="4"/>
        <v>00000000111</v>
      </c>
      <c r="F55" t="s">
        <v>37</v>
      </c>
      <c r="G55" s="3" t="str">
        <f t="shared" si="5"/>
        <v>000000000000000</v>
      </c>
      <c r="H55" s="5" t="str">
        <f t="shared" si="6"/>
        <v>000111</v>
      </c>
      <c r="I55" t="str">
        <f t="shared" si="3"/>
        <v>NOHIT</v>
      </c>
    </row>
    <row r="56" spans="1:9">
      <c r="B56">
        <v>1</v>
      </c>
      <c r="C56" s="7" t="s">
        <v>35</v>
      </c>
      <c r="D56" s="1" t="str" cm="1">
        <f t="array" ref="D56">MY_HEX2BIN(C56)</f>
        <v>00000000100000000000000000000110</v>
      </c>
      <c r="E56" s="6" t="str">
        <f t="shared" si="4"/>
        <v>00000000100</v>
      </c>
      <c r="F56" t="s">
        <v>24</v>
      </c>
      <c r="G56" s="3" t="str">
        <f t="shared" si="5"/>
        <v>000000000000000</v>
      </c>
      <c r="H56" s="5" t="str">
        <f t="shared" si="6"/>
        <v>000110</v>
      </c>
      <c r="I56" t="str">
        <f t="shared" si="3"/>
        <v>NOHIT</v>
      </c>
    </row>
    <row r="57" spans="1:9">
      <c r="B57">
        <v>9</v>
      </c>
      <c r="C57" s="7" t="s">
        <v>5</v>
      </c>
      <c r="D57" s="1" t="str" cm="1">
        <f t="array" ref="D57">MY_HEX2BIN(C57)</f>
        <v>00000000000000000000000000000000</v>
      </c>
      <c r="E57" s="6" t="str">
        <f t="shared" si="4"/>
        <v>00000000000</v>
      </c>
      <c r="G57" s="3" t="str">
        <f t="shared" si="5"/>
        <v>000000000000000</v>
      </c>
      <c r="H57" s="5" t="str">
        <f t="shared" si="6"/>
        <v>000000</v>
      </c>
      <c r="I57" t="str">
        <f t="shared" si="3"/>
        <v>HIT</v>
      </c>
    </row>
    <row r="58" spans="1:9">
      <c r="B58">
        <v>1</v>
      </c>
      <c r="C58" s="7" t="s">
        <v>36</v>
      </c>
      <c r="D58" s="1" t="str" cm="1">
        <f t="array" ref="D58">MY_HEX2BIN(C58)</f>
        <v>00000001000000000000000000000010</v>
      </c>
      <c r="E58" s="6" t="str">
        <f t="shared" si="4"/>
        <v>00000001000</v>
      </c>
      <c r="F58" t="s">
        <v>37</v>
      </c>
      <c r="G58" s="3" t="str">
        <f t="shared" si="5"/>
        <v>000000000000000</v>
      </c>
      <c r="H58" s="5" t="str">
        <f t="shared" si="6"/>
        <v>000010</v>
      </c>
      <c r="I58" t="str">
        <f t="shared" si="3"/>
        <v>NOHIT</v>
      </c>
    </row>
    <row r="59" spans="1:9">
      <c r="B59">
        <v>9</v>
      </c>
      <c r="C59" s="7" t="s">
        <v>5</v>
      </c>
      <c r="D59" s="1" t="str" cm="1">
        <f t="array" ref="D59">MY_HEX2BIN(C59)</f>
        <v>00000000000000000000000000000000</v>
      </c>
      <c r="E59" s="6" t="str">
        <f t="shared" si="4"/>
        <v>00000000000</v>
      </c>
      <c r="G59" s="3" t="str">
        <f t="shared" si="5"/>
        <v>000000000000000</v>
      </c>
      <c r="H59" s="5" t="str">
        <f t="shared" si="6"/>
        <v>000000</v>
      </c>
      <c r="I59" t="str">
        <f t="shared" si="3"/>
        <v>HIT</v>
      </c>
    </row>
    <row r="60" spans="1:9">
      <c r="D60" s="1" t="str" cm="1">
        <f t="array" ref="D60">MY_HEX2BIN(C60)</f>
        <v/>
      </c>
      <c r="E60" s="6" t="str">
        <f t="shared" si="4"/>
        <v/>
      </c>
      <c r="G60" s="3" t="str">
        <f t="shared" si="5"/>
        <v/>
      </c>
      <c r="H60" s="5" t="str">
        <f t="shared" si="6"/>
        <v/>
      </c>
      <c r="I60" t="str">
        <f t="shared" si="3"/>
        <v>HITM</v>
      </c>
    </row>
    <row r="61" spans="1:9">
      <c r="A61" t="s">
        <v>38</v>
      </c>
      <c r="B61">
        <v>1</v>
      </c>
      <c r="C61" s="7" t="s">
        <v>5</v>
      </c>
      <c r="D61" s="1" t="str" cm="1">
        <f t="array" ref="D61">MY_HEX2BIN(C61)</f>
        <v>00000000000000000000000000000000</v>
      </c>
      <c r="E61" s="6" t="str">
        <f t="shared" si="4"/>
        <v>00000000000</v>
      </c>
      <c r="F61" t="s">
        <v>69</v>
      </c>
      <c r="G61" s="3" t="str">
        <f t="shared" si="5"/>
        <v>000000000000000</v>
      </c>
      <c r="H61" s="5" t="str">
        <f t="shared" si="6"/>
        <v>000000</v>
      </c>
      <c r="I61" t="str">
        <f t="shared" si="3"/>
        <v>HIT</v>
      </c>
    </row>
    <row r="62" spans="1:9">
      <c r="B62">
        <v>1</v>
      </c>
      <c r="C62" s="7" t="s">
        <v>6</v>
      </c>
      <c r="D62" s="1" t="str" cm="1">
        <f t="array" ref="D62">MY_HEX2BIN(C62)</f>
        <v>00000000001000000000000000000001</v>
      </c>
      <c r="E62" s="6" t="str">
        <f t="shared" si="4"/>
        <v>00000000001</v>
      </c>
      <c r="F62" t="s">
        <v>69</v>
      </c>
      <c r="G62" s="3" t="str">
        <f t="shared" si="5"/>
        <v>000000000000000</v>
      </c>
      <c r="H62" s="5" t="str">
        <f t="shared" si="6"/>
        <v>000001</v>
      </c>
      <c r="I62" t="str">
        <f t="shared" si="3"/>
        <v>HITM</v>
      </c>
    </row>
    <row r="63" spans="1:9">
      <c r="B63">
        <v>1</v>
      </c>
      <c r="C63" s="7" t="s">
        <v>7</v>
      </c>
      <c r="D63" s="1" t="str" cm="1">
        <f t="array" ref="D63">MY_HEX2BIN(C63)</f>
        <v>00000000010000000000000000000010</v>
      </c>
      <c r="E63" s="6" t="str">
        <f t="shared" si="4"/>
        <v>00000000010</v>
      </c>
      <c r="F63" t="s">
        <v>69</v>
      </c>
      <c r="G63" s="3" t="str">
        <f t="shared" si="5"/>
        <v>000000000000000</v>
      </c>
      <c r="H63" s="5" t="str">
        <f t="shared" si="6"/>
        <v>000010</v>
      </c>
      <c r="I63" t="str">
        <f t="shared" si="3"/>
        <v>NOHIT</v>
      </c>
    </row>
    <row r="64" spans="1:9">
      <c r="B64">
        <v>1</v>
      </c>
      <c r="C64" s="7" t="s">
        <v>8</v>
      </c>
      <c r="D64" s="1" t="str" cm="1">
        <f t="array" ref="D64">MY_HEX2BIN(C64)</f>
        <v>00000000011000000000000000000011</v>
      </c>
      <c r="E64" s="6" t="str">
        <f t="shared" si="4"/>
        <v>00000000011</v>
      </c>
      <c r="F64" t="s">
        <v>69</v>
      </c>
      <c r="G64" s="3" t="str">
        <f t="shared" si="5"/>
        <v>000000000000000</v>
      </c>
      <c r="H64" s="5" t="str">
        <f t="shared" si="6"/>
        <v>000011</v>
      </c>
      <c r="I64" t="str">
        <f t="shared" si="3"/>
        <v>NOHIT</v>
      </c>
    </row>
    <row r="65" spans="1:9">
      <c r="B65">
        <v>1</v>
      </c>
      <c r="C65" s="7" t="s">
        <v>9</v>
      </c>
      <c r="D65" s="1" t="str" cm="1">
        <f t="array" ref="D65">MY_HEX2BIN(C65)</f>
        <v>00000000100000000000000000000100</v>
      </c>
      <c r="E65" s="6" t="str">
        <f t="shared" si="4"/>
        <v>00000000100</v>
      </c>
      <c r="F65" t="s">
        <v>69</v>
      </c>
      <c r="G65" s="3" t="str">
        <f t="shared" si="5"/>
        <v>000000000000000</v>
      </c>
      <c r="H65" s="5" t="str">
        <f t="shared" si="6"/>
        <v>000100</v>
      </c>
      <c r="I65" t="str">
        <f t="shared" si="3"/>
        <v>HIT</v>
      </c>
    </row>
    <row r="66" spans="1:9">
      <c r="B66">
        <v>1</v>
      </c>
      <c r="C66" s="7" t="s">
        <v>10</v>
      </c>
      <c r="D66" s="1" t="str" cm="1">
        <f t="array" ref="D66">MY_HEX2BIN(C66)</f>
        <v>00000000101000000000000000000101</v>
      </c>
      <c r="E66" s="6" t="str">
        <f t="shared" si="4"/>
        <v>00000000101</v>
      </c>
      <c r="F66" t="s">
        <v>69</v>
      </c>
      <c r="G66" s="3" t="str">
        <f t="shared" si="5"/>
        <v>000000000000000</v>
      </c>
      <c r="H66" s="5" t="str">
        <f t="shared" si="6"/>
        <v>000101</v>
      </c>
      <c r="I66" t="str">
        <f t="shared" si="3"/>
        <v>HITM</v>
      </c>
    </row>
    <row r="67" spans="1:9">
      <c r="B67">
        <v>1</v>
      </c>
      <c r="C67" s="7" t="s">
        <v>4</v>
      </c>
      <c r="D67" s="1" t="str" cm="1">
        <f t="array" ref="D67">MY_HEX2BIN(C67)</f>
        <v>00000000110000000000000000000110</v>
      </c>
      <c r="E67" s="6" t="str">
        <f t="shared" si="4"/>
        <v>00000000110</v>
      </c>
      <c r="F67" t="s">
        <v>69</v>
      </c>
      <c r="G67" s="3" t="str">
        <f t="shared" si="5"/>
        <v>000000000000000</v>
      </c>
      <c r="H67" s="5" t="str">
        <f t="shared" si="6"/>
        <v>000110</v>
      </c>
      <c r="I67" t="str">
        <f t="shared" si="3"/>
        <v>NOHIT</v>
      </c>
    </row>
    <row r="68" spans="1:9">
      <c r="B68">
        <v>1</v>
      </c>
      <c r="C68" s="7" t="s">
        <v>11</v>
      </c>
      <c r="D68" s="1" t="str" cm="1">
        <f t="array" ref="D68">MY_HEX2BIN(C68)</f>
        <v>00000000111000000000000000000111</v>
      </c>
      <c r="E68" s="6" t="str">
        <f t="shared" si="4"/>
        <v>00000000111</v>
      </c>
      <c r="F68" t="s">
        <v>69</v>
      </c>
      <c r="G68" s="3" t="str">
        <f t="shared" si="5"/>
        <v>000000000000000</v>
      </c>
      <c r="H68" s="5" t="str">
        <f t="shared" si="6"/>
        <v>000111</v>
      </c>
      <c r="I68" t="str">
        <f t="shared" ref="I68:I131" si="7">IF(OR(MID(H68,5,2)="10",OR(MID(H68,5,2)="11")),"NOHIT",IF(MID(H68,5,2)="00","HIT","HITM"))</f>
        <v>NOHIT</v>
      </c>
    </row>
    <row r="69" spans="1:9">
      <c r="B69">
        <v>1</v>
      </c>
      <c r="C69" s="7" t="s">
        <v>39</v>
      </c>
      <c r="D69" s="1" t="str" cm="1">
        <f t="array" ref="D69">MY_HEX2BIN(C69)</f>
        <v>00000000100000000000000000000011</v>
      </c>
      <c r="E69" s="6" t="str">
        <f t="shared" si="4"/>
        <v>00000000100</v>
      </c>
      <c r="F69" t="s">
        <v>69</v>
      </c>
      <c r="G69" s="3" t="str">
        <f t="shared" si="5"/>
        <v>000000000000000</v>
      </c>
      <c r="H69" s="5" t="str">
        <f t="shared" si="6"/>
        <v>000011</v>
      </c>
      <c r="I69" t="str">
        <f t="shared" si="7"/>
        <v>NOHIT</v>
      </c>
    </row>
    <row r="70" spans="1:9">
      <c r="B70">
        <v>9</v>
      </c>
      <c r="C70" s="7" t="s">
        <v>5</v>
      </c>
      <c r="D70" s="1" t="str" cm="1">
        <f t="array" ref="D70">MY_HEX2BIN(C70)</f>
        <v>00000000000000000000000000000000</v>
      </c>
      <c r="E70" s="6" t="str">
        <f t="shared" si="4"/>
        <v>00000000000</v>
      </c>
      <c r="F70" t="s">
        <v>70</v>
      </c>
      <c r="G70" s="3" t="str">
        <f t="shared" si="5"/>
        <v>000000000000000</v>
      </c>
      <c r="H70" s="5" t="str">
        <f t="shared" si="6"/>
        <v>000000</v>
      </c>
      <c r="I70" t="str">
        <f t="shared" si="7"/>
        <v>HIT</v>
      </c>
    </row>
    <row r="71" spans="1:9">
      <c r="B71">
        <v>1</v>
      </c>
      <c r="C71" s="7" t="s">
        <v>36</v>
      </c>
      <c r="D71" s="1" t="str" cm="1">
        <f t="array" ref="D71">MY_HEX2BIN(C71)</f>
        <v>00000001000000000000000000000010</v>
      </c>
      <c r="E71" s="6" t="str">
        <f t="shared" si="4"/>
        <v>00000001000</v>
      </c>
      <c r="F71" t="s">
        <v>69</v>
      </c>
      <c r="G71" s="3" t="str">
        <f t="shared" si="5"/>
        <v>000000000000000</v>
      </c>
      <c r="H71" s="5" t="str">
        <f t="shared" si="6"/>
        <v>000010</v>
      </c>
      <c r="I71" t="str">
        <f t="shared" si="7"/>
        <v>NOHIT</v>
      </c>
    </row>
    <row r="72" spans="1:9">
      <c r="B72">
        <v>9</v>
      </c>
      <c r="C72" s="7" t="s">
        <v>5</v>
      </c>
      <c r="D72" s="1" t="str" cm="1">
        <f t="array" ref="D72">MY_HEX2BIN(C72)</f>
        <v>00000000000000000000000000000000</v>
      </c>
      <c r="E72" s="6" t="str">
        <f t="shared" si="4"/>
        <v>00000000000</v>
      </c>
      <c r="F72" t="s">
        <v>70</v>
      </c>
      <c r="G72" s="3" t="str">
        <f t="shared" si="5"/>
        <v>000000000000000</v>
      </c>
      <c r="H72" s="5" t="str">
        <f t="shared" si="6"/>
        <v>000000</v>
      </c>
      <c r="I72" t="str">
        <f t="shared" si="7"/>
        <v>HIT</v>
      </c>
    </row>
    <row r="73" spans="1:9">
      <c r="D73" s="1" t="str" cm="1">
        <f t="array" ref="D73">MY_HEX2BIN(C73)</f>
        <v/>
      </c>
      <c r="E73" s="6" t="str">
        <f t="shared" si="4"/>
        <v/>
      </c>
      <c r="G73" s="3" t="str">
        <f t="shared" si="5"/>
        <v/>
      </c>
      <c r="H73" s="5" t="str">
        <f t="shared" si="6"/>
        <v/>
      </c>
      <c r="I73" t="str">
        <f t="shared" si="7"/>
        <v>HITM</v>
      </c>
    </row>
    <row r="74" spans="1:9">
      <c r="A74" t="s">
        <v>40</v>
      </c>
      <c r="B74">
        <v>0</v>
      </c>
      <c r="C74" s="7" t="s">
        <v>5</v>
      </c>
      <c r="D74" s="1" t="str" cm="1">
        <f t="array" ref="D74">MY_HEX2BIN(C74)</f>
        <v>00000000000000000000000000000000</v>
      </c>
      <c r="E74" s="6" t="str">
        <f t="shared" si="4"/>
        <v>00000000000</v>
      </c>
      <c r="F74" t="s">
        <v>37</v>
      </c>
      <c r="G74" s="3" t="str">
        <f t="shared" si="5"/>
        <v>000000000000000</v>
      </c>
      <c r="H74" s="5" t="str">
        <f t="shared" si="6"/>
        <v>000000</v>
      </c>
      <c r="I74" t="str">
        <f t="shared" si="7"/>
        <v>HIT</v>
      </c>
    </row>
    <row r="75" spans="1:9">
      <c r="B75">
        <v>0</v>
      </c>
      <c r="C75" s="7" t="s">
        <v>41</v>
      </c>
      <c r="D75" s="1" t="str" cm="1">
        <f t="array" ref="D75">MY_HEX2BIN(C75)</f>
        <v>00000000001000000000000000000010</v>
      </c>
      <c r="E75" s="6" t="str">
        <f t="shared" si="4"/>
        <v>00000000001</v>
      </c>
      <c r="F75" t="s">
        <v>37</v>
      </c>
      <c r="G75" s="3" t="str">
        <f t="shared" si="5"/>
        <v>000000000000000</v>
      </c>
      <c r="H75" s="5" t="str">
        <f t="shared" si="6"/>
        <v>000010</v>
      </c>
      <c r="I75" t="str">
        <f t="shared" si="7"/>
        <v>NOHIT</v>
      </c>
    </row>
    <row r="76" spans="1:9">
      <c r="B76">
        <v>9</v>
      </c>
      <c r="C76" s="7" t="s">
        <v>5</v>
      </c>
      <c r="D76" s="1" t="str" cm="1">
        <f t="array" ref="D76">MY_HEX2BIN(C76)</f>
        <v>00000000000000000000000000000000</v>
      </c>
      <c r="E76" s="6" t="str">
        <f t="shared" si="4"/>
        <v>00000000000</v>
      </c>
      <c r="F76" t="s">
        <v>70</v>
      </c>
      <c r="G76" s="3" t="str">
        <f t="shared" si="5"/>
        <v>000000000000000</v>
      </c>
      <c r="H76" s="5" t="str">
        <f t="shared" si="6"/>
        <v>000000</v>
      </c>
      <c r="I76" t="str">
        <f t="shared" si="7"/>
        <v>HIT</v>
      </c>
    </row>
    <row r="77" spans="1:9">
      <c r="B77">
        <v>4</v>
      </c>
      <c r="C77" s="7" t="s">
        <v>13</v>
      </c>
      <c r="D77" s="1" t="str" cm="1">
        <f t="array" ref="D77">MY_HEX2BIN(C77)</f>
        <v>00000000000000000000000000111111</v>
      </c>
      <c r="E77" s="6" t="str">
        <f t="shared" si="4"/>
        <v>00000000000</v>
      </c>
      <c r="F77" t="s">
        <v>71</v>
      </c>
      <c r="G77" s="3" t="str">
        <f t="shared" si="5"/>
        <v>000000000000000</v>
      </c>
      <c r="H77" s="5" t="str">
        <f t="shared" si="6"/>
        <v>111111</v>
      </c>
      <c r="I77" t="str">
        <f t="shared" si="7"/>
        <v>NOHIT</v>
      </c>
    </row>
    <row r="78" spans="1:9">
      <c r="B78">
        <v>9</v>
      </c>
      <c r="C78" s="7" t="s">
        <v>5</v>
      </c>
      <c r="D78" s="1" t="str" cm="1">
        <f t="array" ref="D78">MY_HEX2BIN(C78)</f>
        <v>00000000000000000000000000000000</v>
      </c>
      <c r="E78" s="6" t="str">
        <f t="shared" si="4"/>
        <v>00000000000</v>
      </c>
      <c r="F78" t="s">
        <v>24</v>
      </c>
      <c r="G78" s="3" t="str">
        <f t="shared" si="5"/>
        <v>000000000000000</v>
      </c>
      <c r="H78" s="5" t="str">
        <f t="shared" si="6"/>
        <v>000000</v>
      </c>
      <c r="I78" t="str">
        <f t="shared" si="7"/>
        <v>HIT</v>
      </c>
    </row>
    <row r="79" spans="1:9">
      <c r="B79">
        <v>4</v>
      </c>
      <c r="C79" s="7" t="s">
        <v>42</v>
      </c>
      <c r="D79" s="1" t="str" cm="1">
        <f t="array" ref="D79">MY_HEX2BIN(C79)</f>
        <v>00000000001000000000000000111111</v>
      </c>
      <c r="E79" s="6" t="str">
        <f t="shared" si="4"/>
        <v>00000000001</v>
      </c>
      <c r="F79" t="s">
        <v>71</v>
      </c>
      <c r="G79" s="3" t="str">
        <f t="shared" si="5"/>
        <v>000000000000000</v>
      </c>
      <c r="H79" s="5" t="str">
        <f t="shared" si="6"/>
        <v>111111</v>
      </c>
      <c r="I79" t="str">
        <f t="shared" si="7"/>
        <v>NOHIT</v>
      </c>
    </row>
    <row r="80" spans="1:9">
      <c r="B80">
        <v>9</v>
      </c>
      <c r="C80" s="7" t="s">
        <v>5</v>
      </c>
      <c r="D80" s="1" t="str" cm="1">
        <f t="array" ref="D80">MY_HEX2BIN(C80)</f>
        <v>00000000000000000000000000000000</v>
      </c>
      <c r="E80" s="6" t="str">
        <f t="shared" si="4"/>
        <v>00000000000</v>
      </c>
      <c r="F80" t="s">
        <v>70</v>
      </c>
      <c r="G80" s="3" t="str">
        <f t="shared" si="5"/>
        <v>000000000000000</v>
      </c>
      <c r="H80" s="5" t="str">
        <f t="shared" si="6"/>
        <v>000000</v>
      </c>
      <c r="I80" t="str">
        <f t="shared" si="7"/>
        <v>HIT</v>
      </c>
    </row>
    <row r="81" spans="1:9">
      <c r="D81" s="1" t="str" cm="1">
        <f t="array" ref="D81">MY_HEX2BIN(C81)</f>
        <v/>
      </c>
      <c r="E81" s="6" t="str">
        <f t="shared" si="4"/>
        <v/>
      </c>
      <c r="G81" s="3" t="str">
        <f t="shared" si="5"/>
        <v/>
      </c>
      <c r="H81" s="5" t="str">
        <f t="shared" si="6"/>
        <v/>
      </c>
      <c r="I81" t="str">
        <f t="shared" si="7"/>
        <v>HITM</v>
      </c>
    </row>
    <row r="82" spans="1:9">
      <c r="A82" t="s">
        <v>43</v>
      </c>
      <c r="B82">
        <v>0</v>
      </c>
      <c r="C82" s="7" t="s">
        <v>19</v>
      </c>
      <c r="D82" s="1" t="str" cm="1">
        <f t="array" ref="D82">MY_HEX2BIN(C82)</f>
        <v>00000000000000000000000000000010</v>
      </c>
      <c r="E82" s="6" t="str">
        <f t="shared" si="4"/>
        <v>00000000000</v>
      </c>
      <c r="F82" t="s">
        <v>69</v>
      </c>
      <c r="G82" s="3" t="str">
        <f t="shared" si="5"/>
        <v>000000000000000</v>
      </c>
      <c r="H82" s="5" t="str">
        <f t="shared" si="6"/>
        <v>000010</v>
      </c>
      <c r="I82" t="str">
        <f t="shared" si="7"/>
        <v>NOHIT</v>
      </c>
    </row>
    <row r="83" spans="1:9">
      <c r="B83">
        <v>1</v>
      </c>
      <c r="C83" s="7" t="s">
        <v>19</v>
      </c>
      <c r="D83" s="1" t="str" cm="1">
        <f t="array" ref="D83">MY_HEX2BIN(C83)</f>
        <v>00000000000000000000000000000010</v>
      </c>
      <c r="E83" s="6" t="str">
        <f t="shared" si="4"/>
        <v>00000000000</v>
      </c>
      <c r="F83" t="s">
        <v>72</v>
      </c>
      <c r="G83" s="3" t="str">
        <f t="shared" si="5"/>
        <v>000000000000000</v>
      </c>
      <c r="H83" s="5" t="str">
        <f t="shared" si="6"/>
        <v>000010</v>
      </c>
      <c r="I83" t="str">
        <f t="shared" si="7"/>
        <v>NOHIT</v>
      </c>
    </row>
    <row r="84" spans="1:9">
      <c r="B84">
        <v>9</v>
      </c>
      <c r="C84" s="7" t="s">
        <v>5</v>
      </c>
      <c r="D84" s="1" t="str" cm="1">
        <f t="array" ref="D84">MY_HEX2BIN(C84)</f>
        <v>00000000000000000000000000000000</v>
      </c>
      <c r="E84" s="6" t="str">
        <f t="shared" si="4"/>
        <v>00000000000</v>
      </c>
      <c r="F84" t="s">
        <v>70</v>
      </c>
      <c r="G84" s="3" t="str">
        <f t="shared" si="5"/>
        <v>000000000000000</v>
      </c>
      <c r="H84" s="5" t="str">
        <f t="shared" si="6"/>
        <v>000000</v>
      </c>
      <c r="I84" t="str">
        <f t="shared" si="7"/>
        <v>HIT</v>
      </c>
    </row>
    <row r="85" spans="1:9">
      <c r="B85">
        <v>4</v>
      </c>
      <c r="C85" s="7" t="s">
        <v>13</v>
      </c>
      <c r="D85" s="1" t="str" cm="1">
        <f t="array" ref="D85">MY_HEX2BIN(C85)</f>
        <v>00000000000000000000000000111111</v>
      </c>
      <c r="E85" s="6" t="str">
        <f t="shared" si="4"/>
        <v>00000000000</v>
      </c>
      <c r="F85" t="s">
        <v>71</v>
      </c>
      <c r="G85" s="3" t="str">
        <f t="shared" si="5"/>
        <v>000000000000000</v>
      </c>
      <c r="H85" s="5" t="str">
        <f t="shared" si="6"/>
        <v>111111</v>
      </c>
      <c r="I85" t="str">
        <f t="shared" si="7"/>
        <v>NOHIT</v>
      </c>
    </row>
    <row r="86" spans="1:9">
      <c r="B86">
        <v>9</v>
      </c>
      <c r="C86" s="7" t="s">
        <v>5</v>
      </c>
      <c r="D86" s="1" t="str" cm="1">
        <f t="array" ref="D86">MY_HEX2BIN(C86)</f>
        <v>00000000000000000000000000000000</v>
      </c>
      <c r="E86" s="6" t="str">
        <f t="shared" si="4"/>
        <v>00000000000</v>
      </c>
      <c r="F86" t="s">
        <v>70</v>
      </c>
      <c r="G86" s="3" t="str">
        <f t="shared" si="5"/>
        <v>000000000000000</v>
      </c>
      <c r="H86" s="5" t="str">
        <f t="shared" si="6"/>
        <v>000000</v>
      </c>
      <c r="I86" t="str">
        <f t="shared" si="7"/>
        <v>HIT</v>
      </c>
    </row>
    <row r="87" spans="1:9">
      <c r="D87" s="1" t="str" cm="1">
        <f t="array" ref="D87">MY_HEX2BIN(C87)</f>
        <v/>
      </c>
      <c r="E87" s="6" t="str">
        <f t="shared" ref="E87:E150" si="8">MID(D87,1,11)</f>
        <v/>
      </c>
      <c r="G87" s="3" t="str">
        <f t="shared" si="5"/>
        <v/>
      </c>
      <c r="H87" s="5" t="str">
        <f t="shared" si="6"/>
        <v/>
      </c>
      <c r="I87" t="str">
        <f t="shared" si="7"/>
        <v>HITM</v>
      </c>
    </row>
    <row r="88" spans="1:9">
      <c r="D88" s="1" t="str" cm="1">
        <f t="array" ref="D88">MY_HEX2BIN(C88)</f>
        <v/>
      </c>
      <c r="E88" s="6" t="str">
        <f t="shared" si="8"/>
        <v/>
      </c>
      <c r="G88" s="3" t="str">
        <f t="shared" ref="G88:G151" si="9">MID(D88,12,15)</f>
        <v/>
      </c>
      <c r="H88" s="5" t="str">
        <f t="shared" ref="H88:H151" si="10">MID(D88,27,6)</f>
        <v/>
      </c>
      <c r="I88" t="str">
        <f t="shared" si="7"/>
        <v>HITM</v>
      </c>
    </row>
    <row r="89" spans="1:9">
      <c r="A89" t="s">
        <v>44</v>
      </c>
      <c r="B89">
        <v>1</v>
      </c>
      <c r="C89" s="7" t="s">
        <v>19</v>
      </c>
      <c r="D89" s="1" t="str" cm="1">
        <f t="array" ref="D89">MY_HEX2BIN(C89)</f>
        <v>00000000000000000000000000000010</v>
      </c>
      <c r="E89" s="6" t="str">
        <f t="shared" si="8"/>
        <v>00000000000</v>
      </c>
      <c r="F89" t="s">
        <v>69</v>
      </c>
      <c r="G89" s="3" t="str">
        <f t="shared" si="9"/>
        <v>000000000000000</v>
      </c>
      <c r="H89" s="5" t="str">
        <f t="shared" si="10"/>
        <v>000010</v>
      </c>
      <c r="I89" t="str">
        <f t="shared" si="7"/>
        <v>NOHIT</v>
      </c>
    </row>
    <row r="90" spans="1:9">
      <c r="B90">
        <v>9</v>
      </c>
      <c r="C90" s="7" t="s">
        <v>5</v>
      </c>
      <c r="D90" s="1" t="str" cm="1">
        <f t="array" ref="D90">MY_HEX2BIN(C90)</f>
        <v>00000000000000000000000000000000</v>
      </c>
      <c r="E90" s="6" t="str">
        <f t="shared" si="8"/>
        <v>00000000000</v>
      </c>
      <c r="F90" t="s">
        <v>70</v>
      </c>
      <c r="G90" s="3" t="str">
        <f t="shared" si="9"/>
        <v>000000000000000</v>
      </c>
      <c r="H90" s="5" t="str">
        <f t="shared" si="10"/>
        <v>000000</v>
      </c>
      <c r="I90" t="str">
        <f t="shared" si="7"/>
        <v>HIT</v>
      </c>
    </row>
    <row r="91" spans="1:9">
      <c r="B91">
        <v>4</v>
      </c>
      <c r="C91" s="7" t="s">
        <v>13</v>
      </c>
      <c r="D91" s="1" t="str" cm="1">
        <f t="array" ref="D91">MY_HEX2BIN(C91)</f>
        <v>00000000000000000000000000111111</v>
      </c>
      <c r="E91" s="6" t="str">
        <f t="shared" si="8"/>
        <v>00000000000</v>
      </c>
      <c r="F91" t="s">
        <v>71</v>
      </c>
      <c r="G91" s="3" t="str">
        <f t="shared" si="9"/>
        <v>000000000000000</v>
      </c>
      <c r="H91" s="5" t="str">
        <f t="shared" si="10"/>
        <v>111111</v>
      </c>
      <c r="I91" t="str">
        <f t="shared" si="7"/>
        <v>NOHIT</v>
      </c>
    </row>
    <row r="92" spans="1:9">
      <c r="B92">
        <v>9</v>
      </c>
      <c r="C92" s="7" t="s">
        <v>5</v>
      </c>
      <c r="D92" s="1" t="str" cm="1">
        <f t="array" ref="D92">MY_HEX2BIN(C92)</f>
        <v>00000000000000000000000000000000</v>
      </c>
      <c r="E92" s="6" t="str">
        <f t="shared" si="8"/>
        <v>00000000000</v>
      </c>
      <c r="F92" t="s">
        <v>70</v>
      </c>
      <c r="G92" s="3" t="str">
        <f t="shared" si="9"/>
        <v>000000000000000</v>
      </c>
      <c r="H92" s="5" t="str">
        <f t="shared" si="10"/>
        <v>000000</v>
      </c>
      <c r="I92" t="str">
        <f t="shared" si="7"/>
        <v>HIT</v>
      </c>
    </row>
    <row r="93" spans="1:9">
      <c r="D93" s="1" t="str" cm="1">
        <f t="array" ref="D93">MY_HEX2BIN(C93)</f>
        <v/>
      </c>
      <c r="E93" s="6" t="str">
        <f t="shared" si="8"/>
        <v/>
      </c>
      <c r="G93" s="3" t="str">
        <f t="shared" si="9"/>
        <v/>
      </c>
      <c r="H93" s="5" t="str">
        <f t="shared" si="10"/>
        <v/>
      </c>
      <c r="I93" t="str">
        <f t="shared" si="7"/>
        <v>HITM</v>
      </c>
    </row>
    <row r="94" spans="1:9">
      <c r="A94" t="s">
        <v>45</v>
      </c>
      <c r="B94">
        <v>0</v>
      </c>
      <c r="C94" s="7" t="s">
        <v>19</v>
      </c>
      <c r="D94" s="1" t="str" cm="1">
        <f t="array" ref="D94">MY_HEX2BIN(C94)</f>
        <v>00000000000000000000000000000010</v>
      </c>
      <c r="E94" s="6" t="str">
        <f t="shared" si="8"/>
        <v>00000000000</v>
      </c>
      <c r="F94" t="s">
        <v>69</v>
      </c>
      <c r="G94" s="3" t="str">
        <f t="shared" si="9"/>
        <v>000000000000000</v>
      </c>
      <c r="H94" s="5" t="str">
        <f t="shared" si="10"/>
        <v>000010</v>
      </c>
      <c r="I94" t="str">
        <f t="shared" si="7"/>
        <v>NOHIT</v>
      </c>
    </row>
    <row r="95" spans="1:9">
      <c r="B95">
        <v>9</v>
      </c>
      <c r="C95" s="7" t="s">
        <v>5</v>
      </c>
      <c r="D95" s="1" t="str" cm="1">
        <f t="array" ref="D95">MY_HEX2BIN(C95)</f>
        <v>00000000000000000000000000000000</v>
      </c>
      <c r="E95" s="6" t="str">
        <f t="shared" si="8"/>
        <v>00000000000</v>
      </c>
      <c r="F95" t="s">
        <v>70</v>
      </c>
      <c r="G95" s="3" t="str">
        <f t="shared" si="9"/>
        <v>000000000000000</v>
      </c>
      <c r="H95" s="5" t="str">
        <f t="shared" si="10"/>
        <v>000000</v>
      </c>
      <c r="I95" t="str">
        <f t="shared" si="7"/>
        <v>HIT</v>
      </c>
    </row>
    <row r="96" spans="1:9">
      <c r="B96">
        <v>6</v>
      </c>
      <c r="C96" s="7" t="s">
        <v>13</v>
      </c>
      <c r="D96" s="1" t="str" cm="1">
        <f t="array" ref="D96">MY_HEX2BIN(C96)</f>
        <v>00000000000000000000000000111111</v>
      </c>
      <c r="E96" s="6" t="str">
        <f t="shared" si="8"/>
        <v>00000000000</v>
      </c>
      <c r="F96" t="s">
        <v>73</v>
      </c>
      <c r="G96" s="3" t="str">
        <f t="shared" si="9"/>
        <v>000000000000000</v>
      </c>
      <c r="H96" s="5" t="str">
        <f t="shared" si="10"/>
        <v>111111</v>
      </c>
      <c r="I96" t="str">
        <f t="shared" si="7"/>
        <v>NOHIT</v>
      </c>
    </row>
    <row r="97" spans="1:9">
      <c r="B97">
        <v>9</v>
      </c>
      <c r="C97" s="7" t="s">
        <v>5</v>
      </c>
      <c r="D97" s="1" t="str" cm="1">
        <f t="array" ref="D97">MY_HEX2BIN(C97)</f>
        <v>00000000000000000000000000000000</v>
      </c>
      <c r="E97" s="6" t="str">
        <f t="shared" si="8"/>
        <v>00000000000</v>
      </c>
      <c r="F97" t="s">
        <v>70</v>
      </c>
      <c r="G97" s="3" t="str">
        <f t="shared" si="9"/>
        <v>000000000000000</v>
      </c>
      <c r="H97" s="5" t="str">
        <f t="shared" si="10"/>
        <v>000000</v>
      </c>
      <c r="I97" t="str">
        <f t="shared" si="7"/>
        <v>HIT</v>
      </c>
    </row>
    <row r="98" spans="1:9">
      <c r="D98" s="1" t="str" cm="1">
        <f t="array" ref="D98">MY_HEX2BIN(C98)</f>
        <v/>
      </c>
      <c r="E98" s="6" t="str">
        <f t="shared" si="8"/>
        <v/>
      </c>
      <c r="G98" s="3" t="str">
        <f t="shared" si="9"/>
        <v/>
      </c>
      <c r="H98" s="5" t="str">
        <f t="shared" si="10"/>
        <v/>
      </c>
      <c r="I98" t="str">
        <f t="shared" si="7"/>
        <v>HITM</v>
      </c>
    </row>
    <row r="99" spans="1:9">
      <c r="A99" t="s">
        <v>46</v>
      </c>
      <c r="B99">
        <v>0</v>
      </c>
      <c r="C99" s="7" t="s">
        <v>19</v>
      </c>
      <c r="D99" s="1" t="str" cm="1">
        <f t="array" ref="D99">MY_HEX2BIN(C99)</f>
        <v>00000000000000000000000000000010</v>
      </c>
      <c r="E99" s="6" t="str">
        <f t="shared" si="8"/>
        <v>00000000000</v>
      </c>
      <c r="F99" t="s">
        <v>69</v>
      </c>
      <c r="G99" s="3" t="str">
        <f t="shared" si="9"/>
        <v>000000000000000</v>
      </c>
      <c r="H99" s="5" t="str">
        <f t="shared" si="10"/>
        <v>000010</v>
      </c>
      <c r="I99" t="str">
        <f t="shared" si="7"/>
        <v>NOHIT</v>
      </c>
    </row>
    <row r="100" spans="1:9">
      <c r="B100">
        <v>1</v>
      </c>
      <c r="C100" s="7" t="s">
        <v>19</v>
      </c>
      <c r="D100" s="1" t="str" cm="1">
        <f t="array" ref="D100">MY_HEX2BIN(C100)</f>
        <v>00000000000000000000000000000010</v>
      </c>
      <c r="E100" s="6" t="str">
        <f t="shared" si="8"/>
        <v>00000000000</v>
      </c>
      <c r="F100" t="s">
        <v>75</v>
      </c>
      <c r="G100" s="3" t="str">
        <f t="shared" si="9"/>
        <v>000000000000000</v>
      </c>
      <c r="H100" s="5" t="str">
        <f t="shared" si="10"/>
        <v>000010</v>
      </c>
      <c r="I100" t="str">
        <f t="shared" si="7"/>
        <v>NOHIT</v>
      </c>
    </row>
    <row r="101" spans="1:9">
      <c r="B101">
        <v>9</v>
      </c>
      <c r="C101" s="7" t="s">
        <v>5</v>
      </c>
      <c r="D101" s="1" t="str" cm="1">
        <f t="array" ref="D101">MY_HEX2BIN(C101)</f>
        <v>00000000000000000000000000000000</v>
      </c>
      <c r="E101" s="6" t="str">
        <f t="shared" si="8"/>
        <v>00000000000</v>
      </c>
      <c r="F101" t="s">
        <v>70</v>
      </c>
      <c r="G101" s="3" t="str">
        <f t="shared" si="9"/>
        <v>000000000000000</v>
      </c>
      <c r="H101" s="5" t="str">
        <f t="shared" si="10"/>
        <v>000000</v>
      </c>
      <c r="I101" t="str">
        <f t="shared" si="7"/>
        <v>HIT</v>
      </c>
    </row>
    <row r="102" spans="1:9">
      <c r="B102">
        <v>6</v>
      </c>
      <c r="C102" s="7" t="s">
        <v>13</v>
      </c>
      <c r="D102" s="1" t="str" cm="1">
        <f t="array" ref="D102">MY_HEX2BIN(C102)</f>
        <v>00000000000000000000000000111111</v>
      </c>
      <c r="E102" s="6" t="str">
        <f t="shared" si="8"/>
        <v>00000000000</v>
      </c>
      <c r="F102" t="s">
        <v>74</v>
      </c>
      <c r="G102" s="3" t="str">
        <f t="shared" si="9"/>
        <v>000000000000000</v>
      </c>
      <c r="H102" s="5" t="str">
        <f t="shared" si="10"/>
        <v>111111</v>
      </c>
      <c r="I102" t="str">
        <f t="shared" si="7"/>
        <v>NOHIT</v>
      </c>
    </row>
    <row r="103" spans="1:9">
      <c r="B103">
        <v>9</v>
      </c>
      <c r="C103" s="7" t="s">
        <v>5</v>
      </c>
      <c r="D103" s="1" t="str" cm="1">
        <f t="array" ref="D103">MY_HEX2BIN(C103)</f>
        <v>00000000000000000000000000000000</v>
      </c>
      <c r="E103" s="6" t="str">
        <f t="shared" si="8"/>
        <v>00000000000</v>
      </c>
      <c r="F103" t="s">
        <v>70</v>
      </c>
      <c r="G103" s="3" t="str">
        <f t="shared" si="9"/>
        <v>000000000000000</v>
      </c>
      <c r="H103" s="5" t="str">
        <f t="shared" si="10"/>
        <v>000000</v>
      </c>
      <c r="I103" t="str">
        <f t="shared" si="7"/>
        <v>HIT</v>
      </c>
    </row>
    <row r="104" spans="1:9">
      <c r="D104" s="1" t="str" cm="1">
        <f t="array" ref="D104">MY_HEX2BIN(C104)</f>
        <v/>
      </c>
      <c r="E104" s="6" t="str">
        <f t="shared" si="8"/>
        <v/>
      </c>
      <c r="G104" s="3" t="str">
        <f t="shared" si="9"/>
        <v/>
      </c>
      <c r="H104" s="5" t="str">
        <f t="shared" si="10"/>
        <v/>
      </c>
      <c r="I104" t="str">
        <f t="shared" si="7"/>
        <v>HITM</v>
      </c>
    </row>
    <row r="105" spans="1:9">
      <c r="A105" t="s">
        <v>47</v>
      </c>
      <c r="B105">
        <v>0</v>
      </c>
      <c r="C105" s="7" t="s">
        <v>5</v>
      </c>
      <c r="D105" s="1" t="str" cm="1">
        <f t="array" ref="D105">MY_HEX2BIN(C105)</f>
        <v>00000000000000000000000000000000</v>
      </c>
      <c r="E105" s="6" t="str">
        <f t="shared" si="8"/>
        <v>00000000000</v>
      </c>
      <c r="F105" t="s">
        <v>37</v>
      </c>
      <c r="G105" s="3" t="str">
        <f t="shared" si="9"/>
        <v>000000000000000</v>
      </c>
      <c r="H105" s="5" t="str">
        <f t="shared" si="10"/>
        <v>000000</v>
      </c>
      <c r="I105" t="str">
        <f t="shared" si="7"/>
        <v>HIT</v>
      </c>
    </row>
    <row r="106" spans="1:9">
      <c r="B106">
        <v>9</v>
      </c>
      <c r="C106" s="7" t="s">
        <v>5</v>
      </c>
      <c r="D106" s="1" t="str" cm="1">
        <f t="array" ref="D106">MY_HEX2BIN(C106)</f>
        <v>00000000000000000000000000000000</v>
      </c>
      <c r="E106" s="6" t="str">
        <f t="shared" si="8"/>
        <v>00000000000</v>
      </c>
      <c r="F106" t="s">
        <v>70</v>
      </c>
      <c r="G106" s="3" t="str">
        <f t="shared" si="9"/>
        <v>000000000000000</v>
      </c>
      <c r="H106" s="5" t="str">
        <f t="shared" si="10"/>
        <v>000000</v>
      </c>
      <c r="I106" t="str">
        <f t="shared" si="7"/>
        <v>HIT</v>
      </c>
    </row>
    <row r="107" spans="1:9">
      <c r="B107">
        <v>3</v>
      </c>
      <c r="C107" s="7" t="s">
        <v>13</v>
      </c>
      <c r="D107" s="1" t="str" cm="1">
        <f t="array" ref="D107">MY_HEX2BIN(C107)</f>
        <v>00000000000000000000000000111111</v>
      </c>
      <c r="E107" s="6" t="str">
        <f t="shared" si="8"/>
        <v>00000000000</v>
      </c>
      <c r="F107" t="s">
        <v>76</v>
      </c>
      <c r="G107" s="3" t="str">
        <f t="shared" si="9"/>
        <v>000000000000000</v>
      </c>
      <c r="H107" s="5" t="str">
        <f t="shared" si="10"/>
        <v>111111</v>
      </c>
      <c r="I107" t="str">
        <f t="shared" si="7"/>
        <v>NOHIT</v>
      </c>
    </row>
    <row r="108" spans="1:9">
      <c r="B108">
        <v>9</v>
      </c>
      <c r="C108" s="7" t="s">
        <v>5</v>
      </c>
      <c r="D108" s="1" t="str" cm="1">
        <f t="array" ref="D108">MY_HEX2BIN(C108)</f>
        <v>00000000000000000000000000000000</v>
      </c>
      <c r="E108" s="6" t="str">
        <f t="shared" si="8"/>
        <v>00000000000</v>
      </c>
      <c r="F108" t="s">
        <v>70</v>
      </c>
      <c r="G108" s="3" t="str">
        <f t="shared" si="9"/>
        <v>000000000000000</v>
      </c>
      <c r="H108" s="5" t="str">
        <f t="shared" si="10"/>
        <v>000000</v>
      </c>
      <c r="I108" t="str">
        <f t="shared" si="7"/>
        <v>HIT</v>
      </c>
    </row>
    <row r="109" spans="1:9">
      <c r="D109" s="1" t="str" cm="1">
        <f t="array" ref="D109">MY_HEX2BIN(C109)</f>
        <v/>
      </c>
      <c r="E109" s="6" t="str">
        <f t="shared" si="8"/>
        <v/>
      </c>
      <c r="G109" s="3" t="str">
        <f t="shared" si="9"/>
        <v/>
      </c>
      <c r="H109" s="5" t="str">
        <f t="shared" si="10"/>
        <v/>
      </c>
      <c r="I109" t="str">
        <f t="shared" si="7"/>
        <v>HITM</v>
      </c>
    </row>
    <row r="110" spans="1:9">
      <c r="A110" t="s">
        <v>48</v>
      </c>
      <c r="B110">
        <v>0</v>
      </c>
      <c r="C110" s="7" t="s">
        <v>5</v>
      </c>
      <c r="D110" s="1" t="str" cm="1">
        <f t="array" ref="D110">MY_HEX2BIN(C110)</f>
        <v>00000000000000000000000000000000</v>
      </c>
      <c r="E110" s="6" t="str">
        <f t="shared" si="8"/>
        <v>00000000000</v>
      </c>
      <c r="F110" t="s">
        <v>69</v>
      </c>
      <c r="G110" s="3" t="str">
        <f t="shared" si="9"/>
        <v>000000000000000</v>
      </c>
      <c r="H110" s="5" t="str">
        <f t="shared" si="10"/>
        <v>000000</v>
      </c>
      <c r="I110" t="str">
        <f t="shared" si="7"/>
        <v>HIT</v>
      </c>
    </row>
    <row r="111" spans="1:9">
      <c r="B111">
        <v>9</v>
      </c>
      <c r="C111" s="7" t="s">
        <v>5</v>
      </c>
      <c r="D111" s="1" t="str" cm="1">
        <f t="array" ref="D111">MY_HEX2BIN(C111)</f>
        <v>00000000000000000000000000000000</v>
      </c>
      <c r="E111" s="6" t="str">
        <f t="shared" si="8"/>
        <v>00000000000</v>
      </c>
      <c r="F111" t="s">
        <v>70</v>
      </c>
      <c r="G111" s="3" t="str">
        <f t="shared" si="9"/>
        <v>000000000000000</v>
      </c>
      <c r="H111" s="5" t="str">
        <f t="shared" si="10"/>
        <v>000000</v>
      </c>
      <c r="I111" t="str">
        <f t="shared" si="7"/>
        <v>HIT</v>
      </c>
    </row>
    <row r="112" spans="1:9">
      <c r="B112">
        <v>6</v>
      </c>
      <c r="C112" s="7" t="s">
        <v>13</v>
      </c>
      <c r="D112" s="1" t="str" cm="1">
        <f t="array" ref="D112">MY_HEX2BIN(C112)</f>
        <v>00000000000000000000000000111111</v>
      </c>
      <c r="E112" s="6" t="str">
        <f t="shared" si="8"/>
        <v>00000000000</v>
      </c>
      <c r="F112" t="s">
        <v>77</v>
      </c>
      <c r="G112" s="3" t="str">
        <f t="shared" si="9"/>
        <v>000000000000000</v>
      </c>
      <c r="H112" s="5" t="str">
        <f t="shared" si="10"/>
        <v>111111</v>
      </c>
      <c r="I112" t="str">
        <f t="shared" si="7"/>
        <v>NOHIT</v>
      </c>
    </row>
    <row r="113" spans="1:9">
      <c r="B113">
        <v>9</v>
      </c>
      <c r="C113" s="7" t="s">
        <v>5</v>
      </c>
      <c r="D113" s="1" t="str" cm="1">
        <f t="array" ref="D113">MY_HEX2BIN(C113)</f>
        <v>00000000000000000000000000000000</v>
      </c>
      <c r="E113" s="6" t="str">
        <f t="shared" si="8"/>
        <v>00000000000</v>
      </c>
      <c r="F113" t="s">
        <v>70</v>
      </c>
      <c r="G113" s="3" t="str">
        <f t="shared" si="9"/>
        <v>000000000000000</v>
      </c>
      <c r="H113" s="5" t="str">
        <f t="shared" si="10"/>
        <v>000000</v>
      </c>
      <c r="I113" t="str">
        <f t="shared" si="7"/>
        <v>HIT</v>
      </c>
    </row>
    <row r="114" spans="1:9">
      <c r="D114" s="1" t="str" cm="1">
        <f t="array" ref="D114">MY_HEX2BIN(C114)</f>
        <v/>
      </c>
      <c r="E114" s="6" t="str">
        <f t="shared" si="8"/>
        <v/>
      </c>
      <c r="G114" s="3" t="str">
        <f t="shared" si="9"/>
        <v/>
      </c>
      <c r="H114" s="5" t="str">
        <f t="shared" si="10"/>
        <v/>
      </c>
      <c r="I114" t="str">
        <f t="shared" si="7"/>
        <v>HITM</v>
      </c>
    </row>
    <row r="115" spans="1:9">
      <c r="A115" t="s">
        <v>49</v>
      </c>
      <c r="B115">
        <v>3</v>
      </c>
      <c r="C115" s="7" t="s">
        <v>5</v>
      </c>
      <c r="D115" s="1" t="str" cm="1">
        <f t="array" ref="D115">MY_HEX2BIN(C115)</f>
        <v>00000000000000000000000000000000</v>
      </c>
      <c r="E115" s="6" t="str">
        <f t="shared" si="8"/>
        <v>00000000000</v>
      </c>
      <c r="F115" t="s">
        <v>78</v>
      </c>
      <c r="G115" s="3" t="str">
        <f t="shared" si="9"/>
        <v>000000000000000</v>
      </c>
      <c r="H115" s="5" t="str">
        <f t="shared" si="10"/>
        <v>000000</v>
      </c>
      <c r="I115" t="str">
        <f t="shared" si="7"/>
        <v>HIT</v>
      </c>
    </row>
    <row r="116" spans="1:9">
      <c r="B116">
        <v>4</v>
      </c>
      <c r="C116" s="7" t="s">
        <v>50</v>
      </c>
      <c r="D116" s="1" t="str" cm="1">
        <f t="array" ref="D116">MY_HEX2BIN(C116)</f>
        <v>00000000000000000000000001000000</v>
      </c>
      <c r="E116" s="6" t="str">
        <f t="shared" si="8"/>
        <v>00000000000</v>
      </c>
      <c r="F116" t="s">
        <v>79</v>
      </c>
      <c r="G116" s="3" t="str">
        <f t="shared" si="9"/>
        <v>000000000000001</v>
      </c>
      <c r="H116" s="5" t="str">
        <f t="shared" si="10"/>
        <v>000000</v>
      </c>
      <c r="I116" t="str">
        <f t="shared" si="7"/>
        <v>HIT</v>
      </c>
    </row>
    <row r="117" spans="1:9">
      <c r="B117">
        <v>5</v>
      </c>
      <c r="C117" s="7" t="s">
        <v>21</v>
      </c>
      <c r="D117" s="1" t="str" cm="1">
        <f t="array" ref="D117">MY_HEX2BIN(C117)</f>
        <v>00000000000000000000000010000000</v>
      </c>
      <c r="E117" s="6" t="str">
        <f t="shared" si="8"/>
        <v>00000000000</v>
      </c>
      <c r="F117" t="s">
        <v>80</v>
      </c>
      <c r="G117" s="3" t="str">
        <f t="shared" si="9"/>
        <v>000000000000010</v>
      </c>
      <c r="H117" s="5" t="str">
        <f t="shared" si="10"/>
        <v>000000</v>
      </c>
      <c r="I117" t="str">
        <f t="shared" si="7"/>
        <v>HIT</v>
      </c>
    </row>
    <row r="118" spans="1:9">
      <c r="B118">
        <v>6</v>
      </c>
      <c r="C118" s="7" t="s">
        <v>51</v>
      </c>
      <c r="D118" s="1" t="str" cm="1">
        <f t="array" ref="D118">MY_HEX2BIN(C118)</f>
        <v>00000000000000000000000011000000</v>
      </c>
      <c r="E118" s="6" t="str">
        <f t="shared" si="8"/>
        <v>00000000000</v>
      </c>
      <c r="G118" s="3" t="str">
        <f t="shared" si="9"/>
        <v>000000000000011</v>
      </c>
      <c r="H118" s="5" t="str">
        <f t="shared" si="10"/>
        <v>000000</v>
      </c>
      <c r="I118" t="str">
        <f t="shared" si="7"/>
        <v>HIT</v>
      </c>
    </row>
    <row r="119" spans="1:9">
      <c r="D119" s="1" t="str" cm="1">
        <f t="array" ref="D119">MY_HEX2BIN(C119)</f>
        <v/>
      </c>
      <c r="E119" s="6" t="str">
        <f t="shared" si="8"/>
        <v/>
      </c>
      <c r="G119" s="3" t="str">
        <f t="shared" si="9"/>
        <v/>
      </c>
      <c r="H119" s="5" t="str">
        <f t="shared" si="10"/>
        <v/>
      </c>
      <c r="I119" t="str">
        <f t="shared" si="7"/>
        <v>HITM</v>
      </c>
    </row>
    <row r="120" spans="1:9">
      <c r="D120" s="1" t="str" cm="1">
        <f t="array" ref="D120">MY_HEX2BIN(C120)</f>
        <v/>
      </c>
      <c r="E120" s="6" t="str">
        <f t="shared" si="8"/>
        <v/>
      </c>
      <c r="G120" s="3" t="str">
        <f t="shared" si="9"/>
        <v/>
      </c>
      <c r="H120" s="5" t="str">
        <f t="shared" si="10"/>
        <v/>
      </c>
      <c r="I120" t="str">
        <f t="shared" si="7"/>
        <v>HITM</v>
      </c>
    </row>
    <row r="121" spans="1:9">
      <c r="D121" s="1" t="str" cm="1">
        <f t="array" ref="D121">MY_HEX2BIN(C121)</f>
        <v/>
      </c>
      <c r="E121" s="6" t="str">
        <f t="shared" si="8"/>
        <v/>
      </c>
      <c r="G121" s="3" t="str">
        <f t="shared" si="9"/>
        <v/>
      </c>
      <c r="H121" s="5" t="str">
        <f t="shared" si="10"/>
        <v/>
      </c>
      <c r="I121" t="str">
        <f t="shared" si="7"/>
        <v>HITM</v>
      </c>
    </row>
    <row r="122" spans="1:9">
      <c r="A122" t="s">
        <v>52</v>
      </c>
      <c r="B122">
        <v>0</v>
      </c>
      <c r="C122" s="7" t="s">
        <v>5</v>
      </c>
      <c r="D122" s="1" t="str" cm="1">
        <f t="array" ref="D122">MY_HEX2BIN(C122)</f>
        <v>00000000000000000000000000000000</v>
      </c>
      <c r="E122" s="6" t="str">
        <f t="shared" si="8"/>
        <v>00000000000</v>
      </c>
      <c r="G122" s="3" t="str">
        <f t="shared" si="9"/>
        <v>000000000000000</v>
      </c>
      <c r="H122" s="5" t="str">
        <f t="shared" si="10"/>
        <v>000000</v>
      </c>
      <c r="I122" t="str">
        <f t="shared" si="7"/>
        <v>HIT</v>
      </c>
    </row>
    <row r="123" spans="1:9">
      <c r="B123">
        <v>0</v>
      </c>
      <c r="C123" s="7" t="s">
        <v>6</v>
      </c>
      <c r="D123" s="1" t="str" cm="1">
        <f t="array" ref="D123">MY_HEX2BIN(C123)</f>
        <v>00000000001000000000000000000001</v>
      </c>
      <c r="E123" s="6" t="str">
        <f t="shared" si="8"/>
        <v>00000000001</v>
      </c>
      <c r="G123" s="3" t="str">
        <f t="shared" si="9"/>
        <v>000000000000000</v>
      </c>
      <c r="H123" s="5" t="str">
        <f t="shared" si="10"/>
        <v>000001</v>
      </c>
      <c r="I123" t="str">
        <f t="shared" si="7"/>
        <v>HITM</v>
      </c>
    </row>
    <row r="124" spans="1:9">
      <c r="B124">
        <v>0</v>
      </c>
      <c r="C124" s="7" t="s">
        <v>7</v>
      </c>
      <c r="D124" s="1" t="str" cm="1">
        <f t="array" ref="D124">MY_HEX2BIN(C124)</f>
        <v>00000000010000000000000000000010</v>
      </c>
      <c r="E124" s="6" t="str">
        <f t="shared" si="8"/>
        <v>00000000010</v>
      </c>
      <c r="G124" s="3" t="str">
        <f t="shared" si="9"/>
        <v>000000000000000</v>
      </c>
      <c r="H124" s="5" t="str">
        <f t="shared" si="10"/>
        <v>000010</v>
      </c>
      <c r="I124" t="str">
        <f t="shared" si="7"/>
        <v>NOHIT</v>
      </c>
    </row>
    <row r="125" spans="1:9">
      <c r="B125">
        <v>0</v>
      </c>
      <c r="C125" s="7" t="s">
        <v>8</v>
      </c>
      <c r="D125" s="1" t="str" cm="1">
        <f t="array" ref="D125">MY_HEX2BIN(C125)</f>
        <v>00000000011000000000000000000011</v>
      </c>
      <c r="E125" s="6" t="str">
        <f t="shared" si="8"/>
        <v>00000000011</v>
      </c>
      <c r="G125" s="3" t="str">
        <f t="shared" si="9"/>
        <v>000000000000000</v>
      </c>
      <c r="H125" s="5" t="str">
        <f t="shared" si="10"/>
        <v>000011</v>
      </c>
      <c r="I125" t="str">
        <f t="shared" si="7"/>
        <v>NOHIT</v>
      </c>
    </row>
    <row r="126" spans="1:9">
      <c r="B126">
        <v>0</v>
      </c>
      <c r="C126" s="7" t="s">
        <v>9</v>
      </c>
      <c r="D126" s="1" t="str" cm="1">
        <f t="array" ref="D126">MY_HEX2BIN(C126)</f>
        <v>00000000100000000000000000000100</v>
      </c>
      <c r="E126" s="6" t="str">
        <f t="shared" si="8"/>
        <v>00000000100</v>
      </c>
      <c r="G126" s="3" t="str">
        <f t="shared" si="9"/>
        <v>000000000000000</v>
      </c>
      <c r="H126" s="5" t="str">
        <f t="shared" si="10"/>
        <v>000100</v>
      </c>
      <c r="I126" t="str">
        <f t="shared" si="7"/>
        <v>HIT</v>
      </c>
    </row>
    <row r="127" spans="1:9">
      <c r="B127">
        <v>0</v>
      </c>
      <c r="C127" s="7" t="s">
        <v>10</v>
      </c>
      <c r="D127" s="1" t="str" cm="1">
        <f t="array" ref="D127">MY_HEX2BIN(C127)</f>
        <v>00000000101000000000000000000101</v>
      </c>
      <c r="E127" s="6" t="str">
        <f t="shared" si="8"/>
        <v>00000000101</v>
      </c>
      <c r="G127" s="3" t="str">
        <f t="shared" si="9"/>
        <v>000000000000000</v>
      </c>
      <c r="H127" s="5" t="str">
        <f t="shared" si="10"/>
        <v>000101</v>
      </c>
      <c r="I127" t="str">
        <f t="shared" si="7"/>
        <v>HITM</v>
      </c>
    </row>
    <row r="128" spans="1:9">
      <c r="B128">
        <v>0</v>
      </c>
      <c r="C128" s="7" t="s">
        <v>4</v>
      </c>
      <c r="D128" s="1" t="str" cm="1">
        <f t="array" ref="D128">MY_HEX2BIN(C128)</f>
        <v>00000000110000000000000000000110</v>
      </c>
      <c r="E128" s="6" t="str">
        <f t="shared" si="8"/>
        <v>00000000110</v>
      </c>
      <c r="G128" s="3" t="str">
        <f t="shared" si="9"/>
        <v>000000000000000</v>
      </c>
      <c r="H128" s="5" t="str">
        <f t="shared" si="10"/>
        <v>000110</v>
      </c>
      <c r="I128" t="str">
        <f t="shared" si="7"/>
        <v>NOHIT</v>
      </c>
    </row>
    <row r="129" spans="1:9">
      <c r="B129">
        <v>0</v>
      </c>
      <c r="C129" s="7" t="s">
        <v>11</v>
      </c>
      <c r="D129" s="1" t="str" cm="1">
        <f t="array" ref="D129">MY_HEX2BIN(C129)</f>
        <v>00000000111000000000000000000111</v>
      </c>
      <c r="E129" s="6" t="str">
        <f t="shared" si="8"/>
        <v>00000000111</v>
      </c>
      <c r="G129" s="3" t="str">
        <f t="shared" si="9"/>
        <v>000000000000000</v>
      </c>
      <c r="H129" s="5" t="str">
        <f t="shared" si="10"/>
        <v>000111</v>
      </c>
      <c r="I129" t="str">
        <f t="shared" si="7"/>
        <v>NOHIT</v>
      </c>
    </row>
    <row r="130" spans="1:9">
      <c r="B130">
        <v>9</v>
      </c>
      <c r="C130" s="7" t="s">
        <v>5</v>
      </c>
      <c r="D130" s="1" t="str" cm="1">
        <f t="array" ref="D130">MY_HEX2BIN(C130)</f>
        <v>00000000000000000000000000000000</v>
      </c>
      <c r="E130" s="6" t="str">
        <f t="shared" si="8"/>
        <v>00000000000</v>
      </c>
      <c r="G130" s="3" t="str">
        <f t="shared" si="9"/>
        <v>000000000000000</v>
      </c>
      <c r="H130" s="5" t="str">
        <f t="shared" si="10"/>
        <v>000000</v>
      </c>
      <c r="I130" t="str">
        <f t="shared" si="7"/>
        <v>HIT</v>
      </c>
    </row>
    <row r="131" spans="1:9">
      <c r="B131">
        <v>3</v>
      </c>
      <c r="C131" s="7" t="s">
        <v>53</v>
      </c>
      <c r="D131" s="1" t="str" cm="1">
        <f t="array" ref="D131">MY_HEX2BIN(C131)</f>
        <v>00000000001000000000000000000011</v>
      </c>
      <c r="E131" s="6" t="str">
        <f t="shared" si="8"/>
        <v>00000000001</v>
      </c>
      <c r="G131" s="3" t="str">
        <f t="shared" si="9"/>
        <v>000000000000000</v>
      </c>
      <c r="H131" s="5" t="str">
        <f t="shared" si="10"/>
        <v>000011</v>
      </c>
      <c r="I131" t="str">
        <f t="shared" si="7"/>
        <v>NOHIT</v>
      </c>
    </row>
    <row r="132" spans="1:9">
      <c r="B132">
        <v>9</v>
      </c>
      <c r="C132" s="7" t="s">
        <v>5</v>
      </c>
      <c r="D132" s="1" t="str" cm="1">
        <f t="array" ref="D132">MY_HEX2BIN(C132)</f>
        <v>00000000000000000000000000000000</v>
      </c>
      <c r="E132" s="6" t="str">
        <f t="shared" si="8"/>
        <v>00000000000</v>
      </c>
      <c r="G132" s="3" t="str">
        <f t="shared" si="9"/>
        <v>000000000000000</v>
      </c>
      <c r="H132" s="5" t="str">
        <f t="shared" si="10"/>
        <v>000000</v>
      </c>
      <c r="I132" t="str">
        <f t="shared" ref="I132:I195" si="11">IF(OR(MID(H132,5,2)="10",OR(MID(H132,5,2)="11")),"NOHIT",IF(MID(H132,5,2)="00","HIT","HITM"))</f>
        <v>HIT</v>
      </c>
    </row>
    <row r="133" spans="1:9">
      <c r="B133">
        <v>0</v>
      </c>
      <c r="C133" s="7" t="s">
        <v>33</v>
      </c>
      <c r="D133" s="1" t="str" cm="1">
        <f t="array" ref="D133">MY_HEX2BIN(C133)</f>
        <v>00000001000000000000000000000000</v>
      </c>
      <c r="E133" s="6" t="str">
        <f t="shared" si="8"/>
        <v>00000001000</v>
      </c>
      <c r="G133" s="3" t="str">
        <f t="shared" si="9"/>
        <v>000000000000000</v>
      </c>
      <c r="H133" s="5" t="str">
        <f t="shared" si="10"/>
        <v>000000</v>
      </c>
      <c r="I133" t="str">
        <f t="shared" si="11"/>
        <v>HIT</v>
      </c>
    </row>
    <row r="134" spans="1:9">
      <c r="B134">
        <v>9</v>
      </c>
      <c r="C134" s="7" t="s">
        <v>5</v>
      </c>
      <c r="D134" s="1" t="str" cm="1">
        <f t="array" ref="D134">MY_HEX2BIN(C134)</f>
        <v>00000000000000000000000000000000</v>
      </c>
      <c r="E134" s="6" t="str">
        <f t="shared" si="8"/>
        <v>00000000000</v>
      </c>
      <c r="G134" s="3" t="str">
        <f t="shared" si="9"/>
        <v>000000000000000</v>
      </c>
      <c r="H134" s="5" t="str">
        <f t="shared" si="10"/>
        <v>000000</v>
      </c>
      <c r="I134" t="str">
        <f t="shared" si="11"/>
        <v>HIT</v>
      </c>
    </row>
    <row r="135" spans="1:9">
      <c r="D135" s="1" t="str" cm="1">
        <f t="array" ref="D135">MY_HEX2BIN(C135)</f>
        <v/>
      </c>
      <c r="E135" s="6" t="str">
        <f t="shared" si="8"/>
        <v/>
      </c>
      <c r="G135" s="3" t="str">
        <f t="shared" si="9"/>
        <v/>
      </c>
      <c r="H135" s="5" t="str">
        <f t="shared" si="10"/>
        <v/>
      </c>
      <c r="I135" t="str">
        <f t="shared" si="11"/>
        <v>HITM</v>
      </c>
    </row>
    <row r="136" spans="1:9">
      <c r="A136" t="s">
        <v>54</v>
      </c>
      <c r="B136">
        <v>0</v>
      </c>
      <c r="C136" s="7" t="s">
        <v>19</v>
      </c>
      <c r="D136" s="1" t="str" cm="1">
        <f t="array" ref="D136">MY_HEX2BIN(C136)</f>
        <v>00000000000000000000000000000010</v>
      </c>
      <c r="E136" s="6" t="str">
        <f t="shared" si="8"/>
        <v>00000000000</v>
      </c>
      <c r="G136" s="3" t="str">
        <f t="shared" si="9"/>
        <v>000000000000000</v>
      </c>
      <c r="H136" s="5" t="str">
        <f t="shared" si="10"/>
        <v>000010</v>
      </c>
      <c r="I136" t="str">
        <f t="shared" si="11"/>
        <v>NOHIT</v>
      </c>
    </row>
    <row r="137" spans="1:9">
      <c r="B137">
        <v>0</v>
      </c>
      <c r="C137" s="7" t="s">
        <v>18</v>
      </c>
      <c r="D137" s="1" t="str" cm="1">
        <f t="array" ref="D137">MY_HEX2BIN(C137)</f>
        <v>00000000001000000000000000000000</v>
      </c>
      <c r="E137" s="6" t="str">
        <f t="shared" si="8"/>
        <v>00000000001</v>
      </c>
      <c r="G137" s="3" t="str">
        <f t="shared" si="9"/>
        <v>000000000000000</v>
      </c>
      <c r="H137" s="5" t="str">
        <f t="shared" si="10"/>
        <v>000000</v>
      </c>
      <c r="I137" t="str">
        <f t="shared" si="11"/>
        <v>HIT</v>
      </c>
    </row>
    <row r="138" spans="1:9">
      <c r="B138">
        <v>1</v>
      </c>
      <c r="C138" s="7" t="s">
        <v>7</v>
      </c>
      <c r="D138" s="1" t="str" cm="1">
        <f t="array" ref="D138">MY_HEX2BIN(C138)</f>
        <v>00000000010000000000000000000010</v>
      </c>
      <c r="E138" s="6" t="str">
        <f t="shared" si="8"/>
        <v>00000000010</v>
      </c>
      <c r="G138" s="3" t="str">
        <f t="shared" si="9"/>
        <v>000000000000000</v>
      </c>
      <c r="H138" s="5" t="str">
        <f t="shared" si="10"/>
        <v>000010</v>
      </c>
      <c r="I138" t="str">
        <f t="shared" si="11"/>
        <v>NOHIT</v>
      </c>
    </row>
    <row r="139" spans="1:9">
      <c r="B139">
        <v>0</v>
      </c>
      <c r="C139" s="7" t="s">
        <v>55</v>
      </c>
      <c r="D139" s="1" t="str" cm="1">
        <f t="array" ref="D139">MY_HEX2BIN(C139)</f>
        <v>00000000011000000000000000000010</v>
      </c>
      <c r="E139" s="6" t="str">
        <f t="shared" si="8"/>
        <v>00000000011</v>
      </c>
      <c r="G139" s="3" t="str">
        <f t="shared" si="9"/>
        <v>000000000000000</v>
      </c>
      <c r="H139" s="5" t="str">
        <f t="shared" si="10"/>
        <v>000010</v>
      </c>
      <c r="I139" t="str">
        <f t="shared" si="11"/>
        <v>NOHIT</v>
      </c>
    </row>
    <row r="140" spans="1:9">
      <c r="B140">
        <v>0</v>
      </c>
      <c r="C140" s="7" t="s">
        <v>56</v>
      </c>
      <c r="D140" s="1" t="str" cm="1">
        <f t="array" ref="D140">MY_HEX2BIN(C140)</f>
        <v>00000000100000000000000000000000</v>
      </c>
      <c r="E140" s="6" t="str">
        <f t="shared" si="8"/>
        <v>00000000100</v>
      </c>
      <c r="G140" s="3" t="str">
        <f t="shared" si="9"/>
        <v>000000000000000</v>
      </c>
      <c r="H140" s="5" t="str">
        <f t="shared" si="10"/>
        <v>000000</v>
      </c>
      <c r="I140" t="str">
        <f t="shared" si="11"/>
        <v>HIT</v>
      </c>
    </row>
    <row r="141" spans="1:9">
      <c r="B141">
        <v>1</v>
      </c>
      <c r="C141" s="7" t="s">
        <v>57</v>
      </c>
      <c r="D141" s="1" t="str" cm="1">
        <f t="array" ref="D141">MY_HEX2BIN(C141)</f>
        <v>00000000101000000000000000000000</v>
      </c>
      <c r="E141" s="6" t="str">
        <f t="shared" si="8"/>
        <v>00000000101</v>
      </c>
      <c r="G141" s="3" t="str">
        <f t="shared" si="9"/>
        <v>000000000000000</v>
      </c>
      <c r="H141" s="5" t="str">
        <f t="shared" si="10"/>
        <v>000000</v>
      </c>
      <c r="I141" t="str">
        <f t="shared" si="11"/>
        <v>HIT</v>
      </c>
    </row>
    <row r="142" spans="1:9">
      <c r="B142">
        <v>9</v>
      </c>
      <c r="C142" s="7" t="s">
        <v>5</v>
      </c>
      <c r="D142" s="1" t="str" cm="1">
        <f t="array" ref="D142">MY_HEX2BIN(C142)</f>
        <v>00000000000000000000000000000000</v>
      </c>
      <c r="E142" s="6" t="str">
        <f t="shared" si="8"/>
        <v>00000000000</v>
      </c>
      <c r="G142" s="3" t="str">
        <f t="shared" si="9"/>
        <v>000000000000000</v>
      </c>
      <c r="H142" s="5" t="str">
        <f t="shared" si="10"/>
        <v>000000</v>
      </c>
      <c r="I142" t="str">
        <f t="shared" si="11"/>
        <v>HIT</v>
      </c>
    </row>
    <row r="143" spans="1:9">
      <c r="B143">
        <v>0</v>
      </c>
      <c r="C143" s="7" t="s">
        <v>5</v>
      </c>
      <c r="D143" s="1" t="str" cm="1">
        <f t="array" ref="D143">MY_HEX2BIN(C143)</f>
        <v>00000000000000000000000000000000</v>
      </c>
      <c r="E143" s="6" t="str">
        <f t="shared" si="8"/>
        <v>00000000000</v>
      </c>
      <c r="G143" s="3" t="str">
        <f t="shared" si="9"/>
        <v>000000000000000</v>
      </c>
      <c r="H143" s="5" t="str">
        <f t="shared" si="10"/>
        <v>000000</v>
      </c>
      <c r="I143" t="str">
        <f t="shared" si="11"/>
        <v>HIT</v>
      </c>
    </row>
    <row r="144" spans="1:9">
      <c r="B144">
        <v>0</v>
      </c>
      <c r="C144" s="7" t="s">
        <v>18</v>
      </c>
      <c r="D144" s="1" t="str" cm="1">
        <f t="array" ref="D144">MY_HEX2BIN(C144)</f>
        <v>00000000001000000000000000000000</v>
      </c>
      <c r="E144" s="6" t="str">
        <f t="shared" si="8"/>
        <v>00000000001</v>
      </c>
      <c r="G144" s="3" t="str">
        <f t="shared" si="9"/>
        <v>000000000000000</v>
      </c>
      <c r="H144" s="5" t="str">
        <f t="shared" si="10"/>
        <v>000000</v>
      </c>
      <c r="I144" t="str">
        <f t="shared" si="11"/>
        <v>HIT</v>
      </c>
    </row>
    <row r="145" spans="1:9">
      <c r="B145">
        <v>0</v>
      </c>
      <c r="C145" s="7" t="s">
        <v>58</v>
      </c>
      <c r="D145" s="1" t="str" cm="1">
        <f t="array" ref="D145">MY_HEX2BIN(C145)</f>
        <v>00000000010000000000000000000000</v>
      </c>
      <c r="E145" s="6" t="str">
        <f t="shared" si="8"/>
        <v>00000000010</v>
      </c>
      <c r="G145" s="3" t="str">
        <f t="shared" si="9"/>
        <v>000000000000000</v>
      </c>
      <c r="H145" s="5" t="str">
        <f t="shared" si="10"/>
        <v>000000</v>
      </c>
      <c r="I145" t="str">
        <f t="shared" si="11"/>
        <v>HIT</v>
      </c>
    </row>
    <row r="146" spans="1:9">
      <c r="B146">
        <v>1</v>
      </c>
      <c r="C146" s="7" t="s">
        <v>32</v>
      </c>
      <c r="D146" s="1" t="str" cm="1">
        <f t="array" ref="D146">MY_HEX2BIN(C146)</f>
        <v>00000000011000000000000000000000</v>
      </c>
      <c r="E146" s="6" t="str">
        <f t="shared" si="8"/>
        <v>00000000011</v>
      </c>
      <c r="G146" s="3" t="str">
        <f t="shared" si="9"/>
        <v>000000000000000</v>
      </c>
      <c r="H146" s="5" t="str">
        <f t="shared" si="10"/>
        <v>000000</v>
      </c>
      <c r="I146" t="str">
        <f t="shared" si="11"/>
        <v>HIT</v>
      </c>
    </row>
    <row r="147" spans="1:9">
      <c r="B147">
        <v>1</v>
      </c>
      <c r="C147" s="7" t="s">
        <v>56</v>
      </c>
      <c r="D147" s="1" t="str" cm="1">
        <f t="array" ref="D147">MY_HEX2BIN(C147)</f>
        <v>00000000100000000000000000000000</v>
      </c>
      <c r="E147" s="6" t="str">
        <f t="shared" si="8"/>
        <v>00000000100</v>
      </c>
      <c r="G147" s="3" t="str">
        <f t="shared" si="9"/>
        <v>000000000000000</v>
      </c>
      <c r="H147" s="5" t="str">
        <f t="shared" si="10"/>
        <v>000000</v>
      </c>
      <c r="I147" t="str">
        <f t="shared" si="11"/>
        <v>HIT</v>
      </c>
    </row>
    <row r="148" spans="1:9">
      <c r="B148">
        <v>1</v>
      </c>
      <c r="C148" s="7" t="s">
        <v>57</v>
      </c>
      <c r="D148" s="1" t="str" cm="1">
        <f t="array" ref="D148">MY_HEX2BIN(C148)</f>
        <v>00000000101000000000000000000000</v>
      </c>
      <c r="E148" s="6" t="str">
        <f t="shared" si="8"/>
        <v>00000000101</v>
      </c>
      <c r="G148" s="3" t="str">
        <f t="shared" si="9"/>
        <v>000000000000000</v>
      </c>
      <c r="H148" s="5" t="str">
        <f t="shared" si="10"/>
        <v>000000</v>
      </c>
      <c r="I148" t="str">
        <f t="shared" si="11"/>
        <v>HIT</v>
      </c>
    </row>
    <row r="149" spans="1:9">
      <c r="B149">
        <v>9</v>
      </c>
      <c r="C149" s="7" t="s">
        <v>5</v>
      </c>
      <c r="D149" s="1" t="str" cm="1">
        <f t="array" ref="D149">MY_HEX2BIN(C149)</f>
        <v>00000000000000000000000000000000</v>
      </c>
      <c r="E149" s="6" t="str">
        <f t="shared" si="8"/>
        <v>00000000000</v>
      </c>
      <c r="G149" s="3" t="str">
        <f t="shared" si="9"/>
        <v>000000000000000</v>
      </c>
      <c r="H149" s="5" t="str">
        <f t="shared" si="10"/>
        <v>000000</v>
      </c>
      <c r="I149" t="str">
        <f t="shared" si="11"/>
        <v>HIT</v>
      </c>
    </row>
    <row r="150" spans="1:9">
      <c r="D150" s="1" t="str" cm="1">
        <f t="array" ref="D150">MY_HEX2BIN(C150)</f>
        <v/>
      </c>
      <c r="E150" s="6" t="str">
        <f t="shared" si="8"/>
        <v/>
      </c>
      <c r="G150" s="3" t="str">
        <f t="shared" si="9"/>
        <v/>
      </c>
      <c r="H150" s="5" t="str">
        <f t="shared" si="10"/>
        <v/>
      </c>
      <c r="I150" t="str">
        <f t="shared" si="11"/>
        <v>HITM</v>
      </c>
    </row>
    <row r="151" spans="1:9">
      <c r="A151" t="s">
        <v>59</v>
      </c>
      <c r="B151">
        <v>0</v>
      </c>
      <c r="C151" s="7" t="s">
        <v>5</v>
      </c>
      <c r="D151" s="1" t="str" cm="1">
        <f t="array" ref="D151">MY_HEX2BIN(C151)</f>
        <v>00000000000000000000000000000000</v>
      </c>
      <c r="E151" s="6" t="str">
        <f t="shared" ref="E151:E214" si="12">MID(D151,1,11)</f>
        <v>00000000000</v>
      </c>
      <c r="G151" s="3" t="str">
        <f t="shared" si="9"/>
        <v>000000000000000</v>
      </c>
      <c r="H151" s="5" t="str">
        <f t="shared" si="10"/>
        <v>000000</v>
      </c>
      <c r="I151" t="str">
        <f t="shared" si="11"/>
        <v>HIT</v>
      </c>
    </row>
    <row r="152" spans="1:9">
      <c r="B152">
        <v>9</v>
      </c>
      <c r="C152" s="7" t="s">
        <v>5</v>
      </c>
      <c r="D152" s="1" t="str" cm="1">
        <f t="array" ref="D152">MY_HEX2BIN(C152)</f>
        <v>00000000000000000000000000000000</v>
      </c>
      <c r="E152" s="6" t="str">
        <f t="shared" si="12"/>
        <v>00000000000</v>
      </c>
      <c r="G152" s="3" t="str">
        <f t="shared" ref="G152:G215" si="13">MID(D152,12,15)</f>
        <v>000000000000000</v>
      </c>
      <c r="H152" s="5" t="str">
        <f t="shared" ref="H152:H215" si="14">MID(D152,27,6)</f>
        <v>000000</v>
      </c>
      <c r="I152" t="str">
        <f t="shared" si="11"/>
        <v>HIT</v>
      </c>
    </row>
    <row r="153" spans="1:9">
      <c r="B153">
        <v>0</v>
      </c>
      <c r="C153" s="7" t="s">
        <v>18</v>
      </c>
      <c r="D153" s="1" t="str" cm="1">
        <f t="array" ref="D153">MY_HEX2BIN(C153)</f>
        <v>00000000001000000000000000000000</v>
      </c>
      <c r="E153" s="6" t="str">
        <f t="shared" si="12"/>
        <v>00000000001</v>
      </c>
      <c r="G153" s="3" t="str">
        <f t="shared" si="13"/>
        <v>000000000000000</v>
      </c>
      <c r="H153" s="5" t="str">
        <f t="shared" si="14"/>
        <v>000000</v>
      </c>
      <c r="I153" t="str">
        <f t="shared" si="11"/>
        <v>HIT</v>
      </c>
    </row>
    <row r="154" spans="1:9">
      <c r="B154">
        <v>9</v>
      </c>
      <c r="C154" s="7" t="s">
        <v>5</v>
      </c>
      <c r="D154" s="1" t="str" cm="1">
        <f t="array" ref="D154">MY_HEX2BIN(C154)</f>
        <v>00000000000000000000000000000000</v>
      </c>
      <c r="E154" s="6" t="str">
        <f t="shared" si="12"/>
        <v>00000000000</v>
      </c>
      <c r="G154" s="3" t="str">
        <f t="shared" si="13"/>
        <v>000000000000000</v>
      </c>
      <c r="H154" s="5" t="str">
        <f t="shared" si="14"/>
        <v>000000</v>
      </c>
      <c r="I154" t="str">
        <f t="shared" si="11"/>
        <v>HIT</v>
      </c>
    </row>
    <row r="155" spans="1:9">
      <c r="B155">
        <v>6</v>
      </c>
      <c r="C155" s="7" t="s">
        <v>5</v>
      </c>
      <c r="D155" s="1" t="str" cm="1">
        <f t="array" ref="D155">MY_HEX2BIN(C155)</f>
        <v>00000000000000000000000000000000</v>
      </c>
      <c r="E155" s="6" t="str">
        <f t="shared" si="12"/>
        <v>00000000000</v>
      </c>
      <c r="G155" s="3" t="str">
        <f t="shared" si="13"/>
        <v>000000000000000</v>
      </c>
      <c r="H155" s="5" t="str">
        <f t="shared" si="14"/>
        <v>000000</v>
      </c>
      <c r="I155" t="str">
        <f t="shared" si="11"/>
        <v>HIT</v>
      </c>
    </row>
    <row r="156" spans="1:9">
      <c r="B156">
        <v>9</v>
      </c>
      <c r="C156" s="7" t="s">
        <v>5</v>
      </c>
      <c r="D156" s="1" t="str" cm="1">
        <f t="array" ref="D156">MY_HEX2BIN(C156)</f>
        <v>00000000000000000000000000000000</v>
      </c>
      <c r="E156" s="6" t="str">
        <f t="shared" si="12"/>
        <v>00000000000</v>
      </c>
      <c r="G156" s="3" t="str">
        <f t="shared" si="13"/>
        <v>000000000000000</v>
      </c>
      <c r="H156" s="5" t="str">
        <f t="shared" si="14"/>
        <v>000000</v>
      </c>
      <c r="I156" t="str">
        <f t="shared" si="11"/>
        <v>HIT</v>
      </c>
    </row>
    <row r="157" spans="1:9">
      <c r="D157" s="1" t="str" cm="1">
        <f t="array" ref="D157">MY_HEX2BIN(C157)</f>
        <v/>
      </c>
      <c r="E157" s="6" t="str">
        <f t="shared" si="12"/>
        <v/>
      </c>
      <c r="G157" s="3" t="str">
        <f t="shared" si="13"/>
        <v/>
      </c>
      <c r="H157" s="5" t="str">
        <f t="shared" si="14"/>
        <v/>
      </c>
      <c r="I157" t="str">
        <f t="shared" si="11"/>
        <v>HITM</v>
      </c>
    </row>
    <row r="158" spans="1:9">
      <c r="D158" s="1" t="str" cm="1">
        <f t="array" ref="D158">MY_HEX2BIN(C158)</f>
        <v/>
      </c>
      <c r="E158" s="6" t="str">
        <f t="shared" si="12"/>
        <v/>
      </c>
      <c r="G158" s="3" t="str">
        <f t="shared" si="13"/>
        <v/>
      </c>
      <c r="H158" s="5" t="str">
        <f t="shared" si="14"/>
        <v/>
      </c>
      <c r="I158" t="str">
        <f t="shared" si="11"/>
        <v>HITM</v>
      </c>
    </row>
    <row r="159" spans="1:9">
      <c r="D159" s="1" t="str" cm="1">
        <f t="array" ref="D159">MY_HEX2BIN(C159)</f>
        <v/>
      </c>
      <c r="E159" s="6" t="str">
        <f t="shared" si="12"/>
        <v/>
      </c>
      <c r="G159" s="3" t="str">
        <f t="shared" si="13"/>
        <v/>
      </c>
      <c r="H159" s="5" t="str">
        <f t="shared" si="14"/>
        <v/>
      </c>
      <c r="I159" t="str">
        <f t="shared" si="11"/>
        <v>HITM</v>
      </c>
    </row>
    <row r="160" spans="1:9">
      <c r="D160" s="1" t="str" cm="1">
        <f t="array" ref="D160">MY_HEX2BIN(C160)</f>
        <v/>
      </c>
      <c r="E160" s="6" t="str">
        <f t="shared" si="12"/>
        <v/>
      </c>
      <c r="G160" s="3" t="str">
        <f t="shared" si="13"/>
        <v/>
      </c>
      <c r="H160" s="5" t="str">
        <f t="shared" si="14"/>
        <v/>
      </c>
      <c r="I160" t="str">
        <f t="shared" si="11"/>
        <v>HITM</v>
      </c>
    </row>
    <row r="161" spans="4:9">
      <c r="D161" s="1" t="str" cm="1">
        <f t="array" ref="D161">MY_HEX2BIN(C161)</f>
        <v/>
      </c>
      <c r="E161" s="6" t="str">
        <f t="shared" si="12"/>
        <v/>
      </c>
      <c r="G161" s="3" t="str">
        <f t="shared" si="13"/>
        <v/>
      </c>
      <c r="H161" s="5" t="str">
        <f t="shared" si="14"/>
        <v/>
      </c>
      <c r="I161" t="str">
        <f t="shared" si="11"/>
        <v>HITM</v>
      </c>
    </row>
    <row r="162" spans="4:9">
      <c r="D162" s="1" t="str" cm="1">
        <f t="array" ref="D162">MY_HEX2BIN(C162)</f>
        <v/>
      </c>
      <c r="E162" s="6" t="str">
        <f t="shared" si="12"/>
        <v/>
      </c>
      <c r="G162" s="3" t="str">
        <f t="shared" si="13"/>
        <v/>
      </c>
      <c r="H162" s="5" t="str">
        <f t="shared" si="14"/>
        <v/>
      </c>
      <c r="I162" t="str">
        <f t="shared" si="11"/>
        <v>HITM</v>
      </c>
    </row>
    <row r="163" spans="4:9">
      <c r="D163" s="1" t="str" cm="1">
        <f t="array" ref="D163">MY_HEX2BIN(C163)</f>
        <v/>
      </c>
      <c r="E163" s="6" t="str">
        <f t="shared" si="12"/>
        <v/>
      </c>
      <c r="G163" s="3" t="str">
        <f t="shared" si="13"/>
        <v/>
      </c>
      <c r="H163" s="5" t="str">
        <f t="shared" si="14"/>
        <v/>
      </c>
      <c r="I163" t="str">
        <f t="shared" si="11"/>
        <v>HITM</v>
      </c>
    </row>
    <row r="164" spans="4:9">
      <c r="D164" s="1" t="str" cm="1">
        <f t="array" ref="D164">MY_HEX2BIN(C164)</f>
        <v/>
      </c>
      <c r="E164" s="6" t="str">
        <f t="shared" si="12"/>
        <v/>
      </c>
      <c r="G164" s="3" t="str">
        <f t="shared" si="13"/>
        <v/>
      </c>
      <c r="H164" s="5" t="str">
        <f t="shared" si="14"/>
        <v/>
      </c>
      <c r="I164" t="str">
        <f t="shared" si="11"/>
        <v>HITM</v>
      </c>
    </row>
    <row r="165" spans="4:9">
      <c r="D165" s="1" t="str" cm="1">
        <f t="array" ref="D165">MY_HEX2BIN(C165)</f>
        <v/>
      </c>
      <c r="E165" s="6" t="str">
        <f t="shared" si="12"/>
        <v/>
      </c>
      <c r="G165" s="3" t="str">
        <f t="shared" si="13"/>
        <v/>
      </c>
      <c r="H165" s="5" t="str">
        <f t="shared" si="14"/>
        <v/>
      </c>
      <c r="I165" t="str">
        <f t="shared" si="11"/>
        <v>HITM</v>
      </c>
    </row>
    <row r="166" spans="4:9">
      <c r="D166" s="1" t="str" cm="1">
        <f t="array" ref="D166">MY_HEX2BIN(C166)</f>
        <v/>
      </c>
      <c r="E166" s="6" t="str">
        <f t="shared" si="12"/>
        <v/>
      </c>
      <c r="G166" s="3" t="str">
        <f t="shared" si="13"/>
        <v/>
      </c>
      <c r="H166" s="5" t="str">
        <f t="shared" si="14"/>
        <v/>
      </c>
      <c r="I166" t="str">
        <f t="shared" si="11"/>
        <v>HITM</v>
      </c>
    </row>
    <row r="167" spans="4:9">
      <c r="D167" s="1" t="str" cm="1">
        <f t="array" ref="D167">MY_HEX2BIN(C167)</f>
        <v/>
      </c>
      <c r="E167" s="6" t="str">
        <f t="shared" si="12"/>
        <v/>
      </c>
      <c r="G167" s="3" t="str">
        <f t="shared" si="13"/>
        <v/>
      </c>
      <c r="H167" s="5" t="str">
        <f t="shared" si="14"/>
        <v/>
      </c>
      <c r="I167" t="str">
        <f t="shared" si="11"/>
        <v>HITM</v>
      </c>
    </row>
    <row r="168" spans="4:9">
      <c r="D168" s="1" t="str" cm="1">
        <f t="array" ref="D168">MY_HEX2BIN(C168)</f>
        <v/>
      </c>
      <c r="E168" s="6" t="str">
        <f t="shared" si="12"/>
        <v/>
      </c>
      <c r="G168" s="3" t="str">
        <f t="shared" si="13"/>
        <v/>
      </c>
      <c r="H168" s="5" t="str">
        <f t="shared" si="14"/>
        <v/>
      </c>
      <c r="I168" t="str">
        <f t="shared" si="11"/>
        <v>HITM</v>
      </c>
    </row>
    <row r="169" spans="4:9">
      <c r="D169" s="1" t="str" cm="1">
        <f t="array" ref="D169">MY_HEX2BIN(C169)</f>
        <v/>
      </c>
      <c r="E169" s="6" t="str">
        <f t="shared" si="12"/>
        <v/>
      </c>
      <c r="G169" s="3" t="str">
        <f t="shared" si="13"/>
        <v/>
      </c>
      <c r="H169" s="5" t="str">
        <f t="shared" si="14"/>
        <v/>
      </c>
      <c r="I169" t="str">
        <f t="shared" si="11"/>
        <v>HITM</v>
      </c>
    </row>
    <row r="170" spans="4:9">
      <c r="D170" s="1" t="str" cm="1">
        <f t="array" ref="D170">MY_HEX2BIN(C170)</f>
        <v/>
      </c>
      <c r="E170" s="6" t="str">
        <f t="shared" si="12"/>
        <v/>
      </c>
      <c r="G170" s="3" t="str">
        <f t="shared" si="13"/>
        <v/>
      </c>
      <c r="H170" s="5" t="str">
        <f t="shared" si="14"/>
        <v/>
      </c>
      <c r="I170" t="str">
        <f t="shared" si="11"/>
        <v>HITM</v>
      </c>
    </row>
    <row r="171" spans="4:9">
      <c r="D171" s="1" t="str" cm="1">
        <f t="array" ref="D171">MY_HEX2BIN(C171)</f>
        <v/>
      </c>
      <c r="E171" s="6" t="str">
        <f t="shared" si="12"/>
        <v/>
      </c>
      <c r="G171" s="3" t="str">
        <f t="shared" si="13"/>
        <v/>
      </c>
      <c r="H171" s="5" t="str">
        <f t="shared" si="14"/>
        <v/>
      </c>
      <c r="I171" t="str">
        <f t="shared" si="11"/>
        <v>HITM</v>
      </c>
    </row>
    <row r="172" spans="4:9">
      <c r="D172" s="1" t="str" cm="1">
        <f t="array" ref="D172">MY_HEX2BIN(C172)</f>
        <v/>
      </c>
      <c r="E172" s="6" t="str">
        <f t="shared" si="12"/>
        <v/>
      </c>
      <c r="G172" s="3" t="str">
        <f t="shared" si="13"/>
        <v/>
      </c>
      <c r="H172" s="5" t="str">
        <f t="shared" si="14"/>
        <v/>
      </c>
      <c r="I172" t="str">
        <f t="shared" si="11"/>
        <v>HITM</v>
      </c>
    </row>
    <row r="173" spans="4:9">
      <c r="D173" s="1" t="str" cm="1">
        <f t="array" ref="D173">MY_HEX2BIN(C173)</f>
        <v/>
      </c>
      <c r="E173" s="6" t="str">
        <f t="shared" si="12"/>
        <v/>
      </c>
      <c r="G173" s="3" t="str">
        <f t="shared" si="13"/>
        <v/>
      </c>
      <c r="H173" s="5" t="str">
        <f t="shared" si="14"/>
        <v/>
      </c>
      <c r="I173" t="str">
        <f t="shared" si="11"/>
        <v>HITM</v>
      </c>
    </row>
    <row r="174" spans="4:9">
      <c r="D174" s="1" t="str" cm="1">
        <f t="array" ref="D174">MY_HEX2BIN(C174)</f>
        <v/>
      </c>
      <c r="E174" s="6" t="str">
        <f t="shared" si="12"/>
        <v/>
      </c>
      <c r="G174" s="3" t="str">
        <f t="shared" si="13"/>
        <v/>
      </c>
      <c r="H174" s="5" t="str">
        <f t="shared" si="14"/>
        <v/>
      </c>
      <c r="I174" t="str">
        <f t="shared" si="11"/>
        <v>HITM</v>
      </c>
    </row>
    <row r="175" spans="4:9">
      <c r="D175" s="1" t="str" cm="1">
        <f t="array" ref="D175">MY_HEX2BIN(C175)</f>
        <v/>
      </c>
      <c r="E175" s="6" t="str">
        <f t="shared" si="12"/>
        <v/>
      </c>
      <c r="G175" s="3" t="str">
        <f t="shared" si="13"/>
        <v/>
      </c>
      <c r="H175" s="5" t="str">
        <f t="shared" si="14"/>
        <v/>
      </c>
      <c r="I175" t="str">
        <f t="shared" si="11"/>
        <v>HITM</v>
      </c>
    </row>
    <row r="176" spans="4:9">
      <c r="D176" s="1" t="str" cm="1">
        <f t="array" ref="D176">MY_HEX2BIN(C176)</f>
        <v/>
      </c>
      <c r="E176" s="6" t="str">
        <f t="shared" si="12"/>
        <v/>
      </c>
      <c r="G176" s="3" t="str">
        <f t="shared" si="13"/>
        <v/>
      </c>
      <c r="H176" s="5" t="str">
        <f t="shared" si="14"/>
        <v/>
      </c>
      <c r="I176" t="str">
        <f t="shared" si="11"/>
        <v>HITM</v>
      </c>
    </row>
    <row r="177" spans="4:9">
      <c r="D177" s="1" t="str" cm="1">
        <f t="array" ref="D177">MY_HEX2BIN(C177)</f>
        <v/>
      </c>
      <c r="E177" s="6" t="str">
        <f t="shared" si="12"/>
        <v/>
      </c>
      <c r="G177" s="3" t="str">
        <f t="shared" si="13"/>
        <v/>
      </c>
      <c r="H177" s="5" t="str">
        <f t="shared" si="14"/>
        <v/>
      </c>
      <c r="I177" t="str">
        <f t="shared" si="11"/>
        <v>HITM</v>
      </c>
    </row>
    <row r="178" spans="4:9">
      <c r="D178" s="1" t="str" cm="1">
        <f t="array" ref="D178">MY_HEX2BIN(C178)</f>
        <v/>
      </c>
      <c r="E178" s="6" t="str">
        <f t="shared" si="12"/>
        <v/>
      </c>
      <c r="G178" s="3" t="str">
        <f t="shared" si="13"/>
        <v/>
      </c>
      <c r="H178" s="5" t="str">
        <f t="shared" si="14"/>
        <v/>
      </c>
      <c r="I178" t="str">
        <f t="shared" si="11"/>
        <v>HITM</v>
      </c>
    </row>
    <row r="179" spans="4:9">
      <c r="D179" s="1" t="str" cm="1">
        <f t="array" ref="D179">MY_HEX2BIN(C179)</f>
        <v/>
      </c>
      <c r="E179" s="6" t="str">
        <f t="shared" si="12"/>
        <v/>
      </c>
      <c r="G179" s="3" t="str">
        <f t="shared" si="13"/>
        <v/>
      </c>
      <c r="H179" s="5" t="str">
        <f t="shared" si="14"/>
        <v/>
      </c>
      <c r="I179" t="str">
        <f t="shared" si="11"/>
        <v>HITM</v>
      </c>
    </row>
    <row r="180" spans="4:9">
      <c r="D180" s="1" t="str" cm="1">
        <f t="array" ref="D180">MY_HEX2BIN(C180)</f>
        <v/>
      </c>
      <c r="E180" s="6" t="str">
        <f t="shared" si="12"/>
        <v/>
      </c>
      <c r="G180" s="3" t="str">
        <f t="shared" si="13"/>
        <v/>
      </c>
      <c r="H180" s="5" t="str">
        <f t="shared" si="14"/>
        <v/>
      </c>
      <c r="I180" t="str">
        <f t="shared" si="11"/>
        <v>HITM</v>
      </c>
    </row>
    <row r="181" spans="4:9">
      <c r="D181" s="1" t="str" cm="1">
        <f t="array" ref="D181">MY_HEX2BIN(C181)</f>
        <v/>
      </c>
      <c r="E181" s="6" t="str">
        <f t="shared" si="12"/>
        <v/>
      </c>
      <c r="G181" s="3" t="str">
        <f t="shared" si="13"/>
        <v/>
      </c>
      <c r="H181" s="5" t="str">
        <f t="shared" si="14"/>
        <v/>
      </c>
      <c r="I181" t="str">
        <f t="shared" si="11"/>
        <v>HITM</v>
      </c>
    </row>
    <row r="182" spans="4:9">
      <c r="D182" s="1" t="str" cm="1">
        <f t="array" ref="D182">MY_HEX2BIN(C182)</f>
        <v/>
      </c>
      <c r="E182" s="6" t="str">
        <f t="shared" si="12"/>
        <v/>
      </c>
      <c r="G182" s="3" t="str">
        <f t="shared" si="13"/>
        <v/>
      </c>
      <c r="H182" s="5" t="str">
        <f t="shared" si="14"/>
        <v/>
      </c>
      <c r="I182" t="str">
        <f t="shared" si="11"/>
        <v>HITM</v>
      </c>
    </row>
    <row r="183" spans="4:9">
      <c r="D183" s="1" t="str" cm="1">
        <f t="array" ref="D183">MY_HEX2BIN(C183)</f>
        <v/>
      </c>
      <c r="E183" s="6" t="str">
        <f t="shared" si="12"/>
        <v/>
      </c>
      <c r="G183" s="3" t="str">
        <f t="shared" si="13"/>
        <v/>
      </c>
      <c r="H183" s="5" t="str">
        <f t="shared" si="14"/>
        <v/>
      </c>
      <c r="I183" t="str">
        <f t="shared" si="11"/>
        <v>HITM</v>
      </c>
    </row>
    <row r="184" spans="4:9">
      <c r="D184" s="1" t="str" cm="1">
        <f t="array" ref="D184">MY_HEX2BIN(C184)</f>
        <v/>
      </c>
      <c r="E184" s="6" t="str">
        <f t="shared" si="12"/>
        <v/>
      </c>
      <c r="G184" s="3" t="str">
        <f t="shared" si="13"/>
        <v/>
      </c>
      <c r="H184" s="5" t="str">
        <f t="shared" si="14"/>
        <v/>
      </c>
      <c r="I184" t="str">
        <f t="shared" si="11"/>
        <v>HITM</v>
      </c>
    </row>
    <row r="185" spans="4:9">
      <c r="D185" s="1" t="str" cm="1">
        <f t="array" ref="D185">MY_HEX2BIN(C185)</f>
        <v/>
      </c>
      <c r="E185" s="6" t="str">
        <f t="shared" si="12"/>
        <v/>
      </c>
      <c r="G185" s="3" t="str">
        <f t="shared" si="13"/>
        <v/>
      </c>
      <c r="H185" s="5" t="str">
        <f t="shared" si="14"/>
        <v/>
      </c>
      <c r="I185" t="str">
        <f t="shared" si="11"/>
        <v>HITM</v>
      </c>
    </row>
    <row r="186" spans="4:9">
      <c r="D186" s="1" t="str" cm="1">
        <f t="array" ref="D186">MY_HEX2BIN(C186)</f>
        <v/>
      </c>
      <c r="E186" s="6" t="str">
        <f t="shared" si="12"/>
        <v/>
      </c>
      <c r="G186" s="3" t="str">
        <f t="shared" si="13"/>
        <v/>
      </c>
      <c r="H186" s="5" t="str">
        <f t="shared" si="14"/>
        <v/>
      </c>
      <c r="I186" t="str">
        <f t="shared" si="11"/>
        <v>HITM</v>
      </c>
    </row>
    <row r="187" spans="4:9">
      <c r="D187" s="1" t="str" cm="1">
        <f t="array" ref="D187">MY_HEX2BIN(C187)</f>
        <v/>
      </c>
      <c r="E187" s="6" t="str">
        <f t="shared" si="12"/>
        <v/>
      </c>
      <c r="G187" s="3" t="str">
        <f t="shared" si="13"/>
        <v/>
      </c>
      <c r="H187" s="5" t="str">
        <f t="shared" si="14"/>
        <v/>
      </c>
      <c r="I187" t="str">
        <f t="shared" si="11"/>
        <v>HITM</v>
      </c>
    </row>
    <row r="188" spans="4:9">
      <c r="D188" s="1" t="str" cm="1">
        <f t="array" ref="D188">MY_HEX2BIN(C188)</f>
        <v/>
      </c>
      <c r="E188" s="6" t="str">
        <f t="shared" si="12"/>
        <v/>
      </c>
      <c r="G188" s="3" t="str">
        <f t="shared" si="13"/>
        <v/>
      </c>
      <c r="H188" s="5" t="str">
        <f t="shared" si="14"/>
        <v/>
      </c>
      <c r="I188" t="str">
        <f t="shared" si="11"/>
        <v>HITM</v>
      </c>
    </row>
    <row r="189" spans="4:9">
      <c r="D189" s="1" t="str" cm="1">
        <f t="array" ref="D189">MY_HEX2BIN(C189)</f>
        <v/>
      </c>
      <c r="E189" s="6" t="str">
        <f t="shared" si="12"/>
        <v/>
      </c>
      <c r="G189" s="3" t="str">
        <f t="shared" si="13"/>
        <v/>
      </c>
      <c r="H189" s="5" t="str">
        <f t="shared" si="14"/>
        <v/>
      </c>
      <c r="I189" t="str">
        <f t="shared" si="11"/>
        <v>HITM</v>
      </c>
    </row>
    <row r="190" spans="4:9">
      <c r="D190" s="1" t="str" cm="1">
        <f t="array" ref="D190">MY_HEX2BIN(C190)</f>
        <v/>
      </c>
      <c r="E190" s="6" t="str">
        <f t="shared" si="12"/>
        <v/>
      </c>
      <c r="G190" s="3" t="str">
        <f t="shared" si="13"/>
        <v/>
      </c>
      <c r="H190" s="5" t="str">
        <f t="shared" si="14"/>
        <v/>
      </c>
      <c r="I190" t="str">
        <f t="shared" si="11"/>
        <v>HITM</v>
      </c>
    </row>
    <row r="191" spans="4:9">
      <c r="D191" s="1" t="str" cm="1">
        <f t="array" ref="D191">MY_HEX2BIN(C191)</f>
        <v/>
      </c>
      <c r="E191" s="6" t="str">
        <f t="shared" si="12"/>
        <v/>
      </c>
      <c r="G191" s="3" t="str">
        <f t="shared" si="13"/>
        <v/>
      </c>
      <c r="H191" s="5" t="str">
        <f t="shared" si="14"/>
        <v/>
      </c>
      <c r="I191" t="str">
        <f t="shared" si="11"/>
        <v>HITM</v>
      </c>
    </row>
    <row r="192" spans="4:9">
      <c r="D192" s="1" t="str" cm="1">
        <f t="array" ref="D192">MY_HEX2BIN(C192)</f>
        <v/>
      </c>
      <c r="E192" s="6" t="str">
        <f t="shared" si="12"/>
        <v/>
      </c>
      <c r="G192" s="3" t="str">
        <f t="shared" si="13"/>
        <v/>
      </c>
      <c r="H192" s="5" t="str">
        <f t="shared" si="14"/>
        <v/>
      </c>
      <c r="I192" t="str">
        <f t="shared" si="11"/>
        <v>HITM</v>
      </c>
    </row>
    <row r="193" spans="4:9">
      <c r="D193" s="1" t="str" cm="1">
        <f t="array" ref="D193">MY_HEX2BIN(C193)</f>
        <v/>
      </c>
      <c r="E193" s="6" t="str">
        <f t="shared" si="12"/>
        <v/>
      </c>
      <c r="G193" s="3" t="str">
        <f t="shared" si="13"/>
        <v/>
      </c>
      <c r="H193" s="5" t="str">
        <f t="shared" si="14"/>
        <v/>
      </c>
      <c r="I193" t="str">
        <f t="shared" si="11"/>
        <v>HITM</v>
      </c>
    </row>
    <row r="194" spans="4:9">
      <c r="D194" s="1" t="str" cm="1">
        <f t="array" ref="D194">MY_HEX2BIN(C194)</f>
        <v/>
      </c>
      <c r="E194" s="6" t="str">
        <f t="shared" si="12"/>
        <v/>
      </c>
      <c r="G194" s="3" t="str">
        <f t="shared" si="13"/>
        <v/>
      </c>
      <c r="H194" s="5" t="str">
        <f t="shared" si="14"/>
        <v/>
      </c>
      <c r="I194" t="str">
        <f t="shared" si="11"/>
        <v>HITM</v>
      </c>
    </row>
    <row r="195" spans="4:9">
      <c r="D195" s="1" t="str" cm="1">
        <f t="array" ref="D195">MY_HEX2BIN(C195)</f>
        <v/>
      </c>
      <c r="E195" s="6" t="str">
        <f t="shared" si="12"/>
        <v/>
      </c>
      <c r="G195" s="3" t="str">
        <f t="shared" si="13"/>
        <v/>
      </c>
      <c r="H195" s="5" t="str">
        <f t="shared" si="14"/>
        <v/>
      </c>
      <c r="I195" t="str">
        <f t="shared" si="11"/>
        <v>HITM</v>
      </c>
    </row>
    <row r="196" spans="4:9">
      <c r="D196" s="1" t="str" cm="1">
        <f t="array" ref="D196">MY_HEX2BIN(C196)</f>
        <v/>
      </c>
      <c r="E196" s="6" t="str">
        <f t="shared" si="12"/>
        <v/>
      </c>
      <c r="G196" s="3" t="str">
        <f t="shared" si="13"/>
        <v/>
      </c>
      <c r="H196" s="5" t="str">
        <f t="shared" si="14"/>
        <v/>
      </c>
      <c r="I196" t="str">
        <f t="shared" ref="I196:I248" si="15">IF(OR(MID(H196,5,2)="10",OR(MID(H196,5,2)="11")),"NOHIT",IF(MID(H196,5,2)="00","HIT","HITM"))</f>
        <v>HITM</v>
      </c>
    </row>
    <row r="197" spans="4:9">
      <c r="D197" s="1" t="str" cm="1">
        <f t="array" ref="D197">MY_HEX2BIN(C197)</f>
        <v/>
      </c>
      <c r="E197" s="6" t="str">
        <f t="shared" si="12"/>
        <v/>
      </c>
      <c r="G197" s="3" t="str">
        <f t="shared" si="13"/>
        <v/>
      </c>
      <c r="H197" s="5" t="str">
        <f t="shared" si="14"/>
        <v/>
      </c>
      <c r="I197" t="str">
        <f t="shared" si="15"/>
        <v>HITM</v>
      </c>
    </row>
    <row r="198" spans="4:9">
      <c r="D198" s="1" t="str" cm="1">
        <f t="array" ref="D198">MY_HEX2BIN(C198)</f>
        <v/>
      </c>
      <c r="E198" s="6" t="str">
        <f t="shared" si="12"/>
        <v/>
      </c>
      <c r="G198" s="3" t="str">
        <f t="shared" si="13"/>
        <v/>
      </c>
      <c r="H198" s="5" t="str">
        <f t="shared" si="14"/>
        <v/>
      </c>
      <c r="I198" t="str">
        <f t="shared" si="15"/>
        <v>HITM</v>
      </c>
    </row>
    <row r="199" spans="4:9">
      <c r="D199" s="1" t="str" cm="1">
        <f t="array" ref="D199">MY_HEX2BIN(C199)</f>
        <v/>
      </c>
      <c r="E199" s="6" t="str">
        <f t="shared" si="12"/>
        <v/>
      </c>
      <c r="G199" s="3" t="str">
        <f t="shared" si="13"/>
        <v/>
      </c>
      <c r="H199" s="5" t="str">
        <f t="shared" si="14"/>
        <v/>
      </c>
      <c r="I199" t="str">
        <f t="shared" si="15"/>
        <v>HITM</v>
      </c>
    </row>
    <row r="200" spans="4:9">
      <c r="D200" s="1" t="str" cm="1">
        <f t="array" ref="D200">MY_HEX2BIN(C200)</f>
        <v/>
      </c>
      <c r="E200" s="6" t="str">
        <f t="shared" si="12"/>
        <v/>
      </c>
      <c r="G200" s="3" t="str">
        <f t="shared" si="13"/>
        <v/>
      </c>
      <c r="H200" s="5" t="str">
        <f t="shared" si="14"/>
        <v/>
      </c>
      <c r="I200" t="str">
        <f t="shared" si="15"/>
        <v>HITM</v>
      </c>
    </row>
    <row r="201" spans="4:9">
      <c r="D201" s="1" t="str" cm="1">
        <f t="array" ref="D201">MY_HEX2BIN(C201)</f>
        <v/>
      </c>
      <c r="E201" s="6" t="str">
        <f t="shared" si="12"/>
        <v/>
      </c>
      <c r="G201" s="3" t="str">
        <f t="shared" si="13"/>
        <v/>
      </c>
      <c r="H201" s="5" t="str">
        <f t="shared" si="14"/>
        <v/>
      </c>
      <c r="I201" t="str">
        <f t="shared" si="15"/>
        <v>HITM</v>
      </c>
    </row>
    <row r="202" spans="4:9">
      <c r="D202" s="1" t="str" cm="1">
        <f t="array" ref="D202">MY_HEX2BIN(C202)</f>
        <v/>
      </c>
      <c r="E202" s="6" t="str">
        <f t="shared" si="12"/>
        <v/>
      </c>
      <c r="G202" s="3" t="str">
        <f t="shared" si="13"/>
        <v/>
      </c>
      <c r="H202" s="5" t="str">
        <f t="shared" si="14"/>
        <v/>
      </c>
      <c r="I202" t="str">
        <f t="shared" si="15"/>
        <v>HITM</v>
      </c>
    </row>
    <row r="203" spans="4:9">
      <c r="D203" s="1" t="str" cm="1">
        <f t="array" ref="D203">MY_HEX2BIN(C203)</f>
        <v/>
      </c>
      <c r="E203" s="6" t="str">
        <f t="shared" si="12"/>
        <v/>
      </c>
      <c r="G203" s="3" t="str">
        <f t="shared" si="13"/>
        <v/>
      </c>
      <c r="H203" s="5" t="str">
        <f t="shared" si="14"/>
        <v/>
      </c>
      <c r="I203" t="str">
        <f t="shared" si="15"/>
        <v>HITM</v>
      </c>
    </row>
    <row r="204" spans="4:9">
      <c r="D204" s="1" t="str" cm="1">
        <f t="array" ref="D204">MY_HEX2BIN(C204)</f>
        <v/>
      </c>
      <c r="E204" s="6" t="str">
        <f t="shared" si="12"/>
        <v/>
      </c>
      <c r="G204" s="3" t="str">
        <f t="shared" si="13"/>
        <v/>
      </c>
      <c r="H204" s="5" t="str">
        <f t="shared" si="14"/>
        <v/>
      </c>
      <c r="I204" t="str">
        <f t="shared" si="15"/>
        <v>HITM</v>
      </c>
    </row>
    <row r="205" spans="4:9">
      <c r="D205" s="1" t="str" cm="1">
        <f t="array" ref="D205">MY_HEX2BIN(C205)</f>
        <v/>
      </c>
      <c r="E205" s="6" t="str">
        <f t="shared" si="12"/>
        <v/>
      </c>
      <c r="G205" s="3" t="str">
        <f t="shared" si="13"/>
        <v/>
      </c>
      <c r="H205" s="5" t="str">
        <f t="shared" si="14"/>
        <v/>
      </c>
      <c r="I205" t="str">
        <f t="shared" si="15"/>
        <v>HITM</v>
      </c>
    </row>
    <row r="206" spans="4:9">
      <c r="D206" s="1" t="str" cm="1">
        <f t="array" ref="D206">MY_HEX2BIN(C206)</f>
        <v/>
      </c>
      <c r="E206" s="6" t="str">
        <f t="shared" si="12"/>
        <v/>
      </c>
      <c r="G206" s="3" t="str">
        <f t="shared" si="13"/>
        <v/>
      </c>
      <c r="H206" s="5" t="str">
        <f t="shared" si="14"/>
        <v/>
      </c>
      <c r="I206" t="str">
        <f t="shared" si="15"/>
        <v>HITM</v>
      </c>
    </row>
    <row r="207" spans="4:9">
      <c r="D207" s="1" t="str" cm="1">
        <f t="array" ref="D207">MY_HEX2BIN(C207)</f>
        <v/>
      </c>
      <c r="E207" s="6" t="str">
        <f t="shared" si="12"/>
        <v/>
      </c>
      <c r="G207" s="3" t="str">
        <f t="shared" si="13"/>
        <v/>
      </c>
      <c r="H207" s="5" t="str">
        <f t="shared" si="14"/>
        <v/>
      </c>
      <c r="I207" t="str">
        <f t="shared" si="15"/>
        <v>HITM</v>
      </c>
    </row>
    <row r="208" spans="4:9">
      <c r="D208" s="1" t="str" cm="1">
        <f t="array" ref="D208">MY_HEX2BIN(C208)</f>
        <v/>
      </c>
      <c r="E208" s="6" t="str">
        <f t="shared" si="12"/>
        <v/>
      </c>
      <c r="G208" s="3" t="str">
        <f t="shared" si="13"/>
        <v/>
      </c>
      <c r="H208" s="5" t="str">
        <f t="shared" si="14"/>
        <v/>
      </c>
      <c r="I208" t="str">
        <f t="shared" si="15"/>
        <v>HITM</v>
      </c>
    </row>
    <row r="209" spans="4:9">
      <c r="D209" s="1" t="str" cm="1">
        <f t="array" ref="D209">MY_HEX2BIN(C209)</f>
        <v/>
      </c>
      <c r="E209" s="6" t="str">
        <f t="shared" si="12"/>
        <v/>
      </c>
      <c r="G209" s="3" t="str">
        <f t="shared" si="13"/>
        <v/>
      </c>
      <c r="H209" s="5" t="str">
        <f t="shared" si="14"/>
        <v/>
      </c>
      <c r="I209" t="str">
        <f t="shared" si="15"/>
        <v>HITM</v>
      </c>
    </row>
    <row r="210" spans="4:9">
      <c r="D210" s="1" t="str" cm="1">
        <f t="array" ref="D210">MY_HEX2BIN(C210)</f>
        <v/>
      </c>
      <c r="E210" s="6" t="str">
        <f t="shared" si="12"/>
        <v/>
      </c>
      <c r="G210" s="3" t="str">
        <f t="shared" si="13"/>
        <v/>
      </c>
      <c r="H210" s="5" t="str">
        <f t="shared" si="14"/>
        <v/>
      </c>
      <c r="I210" t="str">
        <f t="shared" si="15"/>
        <v>HITM</v>
      </c>
    </row>
    <row r="211" spans="4:9">
      <c r="D211" s="1" t="str" cm="1">
        <f t="array" ref="D211">MY_HEX2BIN(C211)</f>
        <v/>
      </c>
      <c r="E211" s="6" t="str">
        <f t="shared" si="12"/>
        <v/>
      </c>
      <c r="G211" s="3" t="str">
        <f t="shared" si="13"/>
        <v/>
      </c>
      <c r="H211" s="5" t="str">
        <f t="shared" si="14"/>
        <v/>
      </c>
      <c r="I211" t="str">
        <f t="shared" si="15"/>
        <v>HITM</v>
      </c>
    </row>
    <row r="212" spans="4:9">
      <c r="D212" s="1" t="str" cm="1">
        <f t="array" ref="D212">MY_HEX2BIN(C212)</f>
        <v/>
      </c>
      <c r="E212" s="6" t="str">
        <f t="shared" si="12"/>
        <v/>
      </c>
      <c r="G212" s="3" t="str">
        <f t="shared" si="13"/>
        <v/>
      </c>
      <c r="H212" s="5" t="str">
        <f t="shared" si="14"/>
        <v/>
      </c>
      <c r="I212" t="str">
        <f t="shared" si="15"/>
        <v>HITM</v>
      </c>
    </row>
    <row r="213" spans="4:9">
      <c r="D213" s="1" t="str" cm="1">
        <f t="array" ref="D213">MY_HEX2BIN(C213)</f>
        <v/>
      </c>
      <c r="E213" s="6" t="str">
        <f t="shared" si="12"/>
        <v/>
      </c>
      <c r="G213" s="3" t="str">
        <f t="shared" si="13"/>
        <v/>
      </c>
      <c r="H213" s="5" t="str">
        <f t="shared" si="14"/>
        <v/>
      </c>
      <c r="I213" t="str">
        <f t="shared" si="15"/>
        <v>HITM</v>
      </c>
    </row>
    <row r="214" spans="4:9">
      <c r="D214" s="1" t="str" cm="1">
        <f t="array" ref="D214">MY_HEX2BIN(C214)</f>
        <v/>
      </c>
      <c r="E214" s="6" t="str">
        <f t="shared" si="12"/>
        <v/>
      </c>
      <c r="G214" s="3" t="str">
        <f t="shared" si="13"/>
        <v/>
      </c>
      <c r="H214" s="5" t="str">
        <f t="shared" si="14"/>
        <v/>
      </c>
      <c r="I214" t="str">
        <f t="shared" si="15"/>
        <v>HITM</v>
      </c>
    </row>
    <row r="215" spans="4:9">
      <c r="D215" s="1" t="str" cm="1">
        <f t="array" ref="D215">MY_HEX2BIN(C215)</f>
        <v/>
      </c>
      <c r="E215" s="6" t="str">
        <f t="shared" ref="E215:E266" si="16">MID(D215,1,11)</f>
        <v/>
      </c>
      <c r="G215" s="3" t="str">
        <f t="shared" si="13"/>
        <v/>
      </c>
      <c r="H215" s="5" t="str">
        <f t="shared" si="14"/>
        <v/>
      </c>
      <c r="I215" t="str">
        <f t="shared" si="15"/>
        <v>HITM</v>
      </c>
    </row>
    <row r="216" spans="4:9">
      <c r="D216" s="1" t="str" cm="1">
        <f t="array" ref="D216">MY_HEX2BIN(C216)</f>
        <v/>
      </c>
      <c r="E216" s="6" t="str">
        <f t="shared" si="16"/>
        <v/>
      </c>
      <c r="G216" s="3" t="str">
        <f t="shared" ref="G216:G279" si="17">MID(D216,12,15)</f>
        <v/>
      </c>
      <c r="H216" s="5" t="str">
        <f t="shared" ref="H216:H279" si="18">MID(D216,27,6)</f>
        <v/>
      </c>
      <c r="I216" t="str">
        <f t="shared" si="15"/>
        <v>HITM</v>
      </c>
    </row>
    <row r="217" spans="4:9">
      <c r="D217" s="1" t="str" cm="1">
        <f t="array" ref="D217">MY_HEX2BIN(C217)</f>
        <v/>
      </c>
      <c r="E217" s="6" t="str">
        <f t="shared" si="16"/>
        <v/>
      </c>
      <c r="G217" s="3" t="str">
        <f t="shared" si="17"/>
        <v/>
      </c>
      <c r="H217" s="5" t="str">
        <f t="shared" si="18"/>
        <v/>
      </c>
      <c r="I217" t="str">
        <f t="shared" si="15"/>
        <v>HITM</v>
      </c>
    </row>
    <row r="218" spans="4:9">
      <c r="D218" s="1" t="str" cm="1">
        <f t="array" ref="D218">MY_HEX2BIN(C218)</f>
        <v/>
      </c>
      <c r="E218" s="6" t="str">
        <f t="shared" si="16"/>
        <v/>
      </c>
      <c r="G218" s="3" t="str">
        <f t="shared" si="17"/>
        <v/>
      </c>
      <c r="H218" s="5" t="str">
        <f t="shared" si="18"/>
        <v/>
      </c>
      <c r="I218" t="str">
        <f t="shared" si="15"/>
        <v>HITM</v>
      </c>
    </row>
    <row r="219" spans="4:9">
      <c r="D219" s="1" t="str" cm="1">
        <f t="array" ref="D219">MY_HEX2BIN(C219)</f>
        <v/>
      </c>
      <c r="E219" s="6" t="str">
        <f t="shared" si="16"/>
        <v/>
      </c>
      <c r="G219" s="3" t="str">
        <f t="shared" si="17"/>
        <v/>
      </c>
      <c r="H219" s="5" t="str">
        <f t="shared" si="18"/>
        <v/>
      </c>
      <c r="I219" t="str">
        <f t="shared" si="15"/>
        <v>HITM</v>
      </c>
    </row>
    <row r="220" spans="4:9">
      <c r="D220" s="1" t="str" cm="1">
        <f t="array" ref="D220">MY_HEX2BIN(C220)</f>
        <v/>
      </c>
      <c r="E220" s="6" t="str">
        <f t="shared" si="16"/>
        <v/>
      </c>
      <c r="G220" s="3" t="str">
        <f t="shared" si="17"/>
        <v/>
      </c>
      <c r="H220" s="5" t="str">
        <f t="shared" si="18"/>
        <v/>
      </c>
      <c r="I220" t="str">
        <f t="shared" si="15"/>
        <v>HITM</v>
      </c>
    </row>
    <row r="221" spans="4:9">
      <c r="D221" s="1" t="str" cm="1">
        <f t="array" ref="D221">MY_HEX2BIN(C221)</f>
        <v/>
      </c>
      <c r="E221" s="6" t="str">
        <f t="shared" si="16"/>
        <v/>
      </c>
      <c r="G221" s="3" t="str">
        <f t="shared" si="17"/>
        <v/>
      </c>
      <c r="H221" s="5" t="str">
        <f t="shared" si="18"/>
        <v/>
      </c>
      <c r="I221" t="str">
        <f t="shared" si="15"/>
        <v>HITM</v>
      </c>
    </row>
    <row r="222" spans="4:9">
      <c r="D222" s="1" t="str" cm="1">
        <f t="array" ref="D222">MY_HEX2BIN(C222)</f>
        <v/>
      </c>
      <c r="E222" s="6" t="str">
        <f t="shared" si="16"/>
        <v/>
      </c>
      <c r="G222" s="3" t="str">
        <f t="shared" si="17"/>
        <v/>
      </c>
      <c r="H222" s="5" t="str">
        <f t="shared" si="18"/>
        <v/>
      </c>
      <c r="I222" t="str">
        <f t="shared" si="15"/>
        <v>HITM</v>
      </c>
    </row>
    <row r="223" spans="4:9">
      <c r="D223" s="1" t="str" cm="1">
        <f t="array" ref="D223">MY_HEX2BIN(C223)</f>
        <v/>
      </c>
      <c r="E223" s="6" t="str">
        <f t="shared" si="16"/>
        <v/>
      </c>
      <c r="G223" s="3" t="str">
        <f t="shared" si="17"/>
        <v/>
      </c>
      <c r="H223" s="5" t="str">
        <f t="shared" si="18"/>
        <v/>
      </c>
      <c r="I223" t="str">
        <f t="shared" si="15"/>
        <v>HITM</v>
      </c>
    </row>
    <row r="224" spans="4:9">
      <c r="D224" s="1" t="str" cm="1">
        <f t="array" ref="D224">MY_HEX2BIN(C224)</f>
        <v/>
      </c>
      <c r="E224" s="6" t="str">
        <f t="shared" si="16"/>
        <v/>
      </c>
      <c r="G224" s="3" t="str">
        <f t="shared" si="17"/>
        <v/>
      </c>
      <c r="H224" s="5" t="str">
        <f t="shared" si="18"/>
        <v/>
      </c>
      <c r="I224" t="str">
        <f t="shared" si="15"/>
        <v>HITM</v>
      </c>
    </row>
    <row r="225" spans="4:9">
      <c r="D225" s="1" t="str" cm="1">
        <f t="array" ref="D225">MY_HEX2BIN(C225)</f>
        <v/>
      </c>
      <c r="E225" s="6" t="str">
        <f t="shared" si="16"/>
        <v/>
      </c>
      <c r="G225" s="3" t="str">
        <f t="shared" si="17"/>
        <v/>
      </c>
      <c r="H225" s="5" t="str">
        <f t="shared" si="18"/>
        <v/>
      </c>
      <c r="I225" t="str">
        <f t="shared" si="15"/>
        <v>HITM</v>
      </c>
    </row>
    <row r="226" spans="4:9">
      <c r="D226" s="1" t="str" cm="1">
        <f t="array" ref="D226">MY_HEX2BIN(C226)</f>
        <v/>
      </c>
      <c r="E226" s="6" t="str">
        <f t="shared" si="16"/>
        <v/>
      </c>
      <c r="G226" s="3" t="str">
        <f t="shared" si="17"/>
        <v/>
      </c>
      <c r="H226" s="5" t="str">
        <f t="shared" si="18"/>
        <v/>
      </c>
      <c r="I226" t="str">
        <f t="shared" si="15"/>
        <v>HITM</v>
      </c>
    </row>
    <row r="227" spans="4:9">
      <c r="D227" s="1" t="str" cm="1">
        <f t="array" ref="D227">MY_HEX2BIN(C227)</f>
        <v/>
      </c>
      <c r="E227" s="6" t="str">
        <f t="shared" si="16"/>
        <v/>
      </c>
      <c r="G227" s="3" t="str">
        <f t="shared" si="17"/>
        <v/>
      </c>
      <c r="H227" s="5" t="str">
        <f t="shared" si="18"/>
        <v/>
      </c>
      <c r="I227" t="str">
        <f t="shared" si="15"/>
        <v>HITM</v>
      </c>
    </row>
    <row r="228" spans="4:9">
      <c r="D228" s="1" t="str" cm="1">
        <f t="array" ref="D228">MY_HEX2BIN(C228)</f>
        <v/>
      </c>
      <c r="E228" s="6" t="str">
        <f t="shared" si="16"/>
        <v/>
      </c>
      <c r="G228" s="3" t="str">
        <f t="shared" si="17"/>
        <v/>
      </c>
      <c r="H228" s="5" t="str">
        <f t="shared" si="18"/>
        <v/>
      </c>
      <c r="I228" t="str">
        <f t="shared" si="15"/>
        <v>HITM</v>
      </c>
    </row>
    <row r="229" spans="4:9">
      <c r="D229" s="1" t="str" cm="1">
        <f t="array" ref="D229">MY_HEX2BIN(C229)</f>
        <v/>
      </c>
      <c r="E229" s="6" t="str">
        <f t="shared" si="16"/>
        <v/>
      </c>
      <c r="G229" s="3" t="str">
        <f t="shared" si="17"/>
        <v/>
      </c>
      <c r="H229" s="5" t="str">
        <f t="shared" si="18"/>
        <v/>
      </c>
      <c r="I229" t="str">
        <f t="shared" si="15"/>
        <v>HITM</v>
      </c>
    </row>
    <row r="230" spans="4:9">
      <c r="D230" s="1" t="str" cm="1">
        <f t="array" ref="D230">MY_HEX2BIN(C230)</f>
        <v/>
      </c>
      <c r="E230" s="6" t="str">
        <f t="shared" si="16"/>
        <v/>
      </c>
      <c r="G230" s="3" t="str">
        <f t="shared" si="17"/>
        <v/>
      </c>
      <c r="H230" s="5" t="str">
        <f t="shared" si="18"/>
        <v/>
      </c>
      <c r="I230" t="str">
        <f t="shared" si="15"/>
        <v>HITM</v>
      </c>
    </row>
    <row r="231" spans="4:9">
      <c r="D231" s="1" t="str" cm="1">
        <f t="array" ref="D231">MY_HEX2BIN(C231)</f>
        <v/>
      </c>
      <c r="E231" s="6" t="str">
        <f t="shared" si="16"/>
        <v/>
      </c>
      <c r="G231" s="3" t="str">
        <f t="shared" si="17"/>
        <v/>
      </c>
      <c r="H231" s="5" t="str">
        <f t="shared" si="18"/>
        <v/>
      </c>
      <c r="I231" t="str">
        <f t="shared" si="15"/>
        <v>HITM</v>
      </c>
    </row>
    <row r="232" spans="4:9">
      <c r="D232" s="1" t="str" cm="1">
        <f t="array" ref="D232">MY_HEX2BIN(C232)</f>
        <v/>
      </c>
      <c r="E232" s="6" t="str">
        <f t="shared" si="16"/>
        <v/>
      </c>
      <c r="G232" s="3" t="str">
        <f t="shared" si="17"/>
        <v/>
      </c>
      <c r="H232" s="5" t="str">
        <f t="shared" si="18"/>
        <v/>
      </c>
      <c r="I232" t="str">
        <f t="shared" si="15"/>
        <v>HITM</v>
      </c>
    </row>
    <row r="233" spans="4:9">
      <c r="D233" s="1" t="str" cm="1">
        <f t="array" ref="D233">MY_HEX2BIN(C233)</f>
        <v/>
      </c>
      <c r="E233" s="6" t="str">
        <f t="shared" si="16"/>
        <v/>
      </c>
      <c r="G233" s="3" t="str">
        <f t="shared" si="17"/>
        <v/>
      </c>
      <c r="H233" s="5" t="str">
        <f t="shared" si="18"/>
        <v/>
      </c>
      <c r="I233" t="str">
        <f t="shared" si="15"/>
        <v>HITM</v>
      </c>
    </row>
    <row r="234" spans="4:9">
      <c r="D234" s="1" t="str" cm="1">
        <f t="array" ref="D234">MY_HEX2BIN(C234)</f>
        <v/>
      </c>
      <c r="E234" s="6" t="str">
        <f t="shared" si="16"/>
        <v/>
      </c>
      <c r="G234" s="3" t="str">
        <f t="shared" si="17"/>
        <v/>
      </c>
      <c r="H234" s="5" t="str">
        <f t="shared" si="18"/>
        <v/>
      </c>
      <c r="I234" t="str">
        <f t="shared" si="15"/>
        <v>HITM</v>
      </c>
    </row>
    <row r="235" spans="4:9">
      <c r="D235" s="1" t="str" cm="1">
        <f t="array" ref="D235">MY_HEX2BIN(C235)</f>
        <v/>
      </c>
      <c r="E235" s="6" t="str">
        <f t="shared" si="16"/>
        <v/>
      </c>
      <c r="G235" s="3" t="str">
        <f t="shared" si="17"/>
        <v/>
      </c>
      <c r="H235" s="5" t="str">
        <f t="shared" si="18"/>
        <v/>
      </c>
      <c r="I235" t="str">
        <f t="shared" si="15"/>
        <v>HITM</v>
      </c>
    </row>
    <row r="236" spans="4:9">
      <c r="D236" s="1" t="str" cm="1">
        <f t="array" ref="D236">MY_HEX2BIN(C236)</f>
        <v/>
      </c>
      <c r="E236" s="6" t="str">
        <f t="shared" si="16"/>
        <v/>
      </c>
      <c r="G236" s="3" t="str">
        <f t="shared" si="17"/>
        <v/>
      </c>
      <c r="H236" s="5" t="str">
        <f t="shared" si="18"/>
        <v/>
      </c>
      <c r="I236" t="str">
        <f t="shared" si="15"/>
        <v>HITM</v>
      </c>
    </row>
    <row r="237" spans="4:9">
      <c r="D237" s="1" t="str" cm="1">
        <f t="array" ref="D237">MY_HEX2BIN(C237)</f>
        <v/>
      </c>
      <c r="E237" s="6" t="str">
        <f t="shared" si="16"/>
        <v/>
      </c>
      <c r="G237" s="3" t="str">
        <f t="shared" si="17"/>
        <v/>
      </c>
      <c r="H237" s="5" t="str">
        <f t="shared" si="18"/>
        <v/>
      </c>
      <c r="I237" t="str">
        <f t="shared" si="15"/>
        <v>HITM</v>
      </c>
    </row>
    <row r="238" spans="4:9">
      <c r="D238" s="1" t="str" cm="1">
        <f t="array" ref="D238">MY_HEX2BIN(C238)</f>
        <v/>
      </c>
      <c r="E238" s="6" t="str">
        <f t="shared" si="16"/>
        <v/>
      </c>
      <c r="G238" s="3" t="str">
        <f t="shared" si="17"/>
        <v/>
      </c>
      <c r="H238" s="5" t="str">
        <f t="shared" si="18"/>
        <v/>
      </c>
      <c r="I238" t="str">
        <f t="shared" si="15"/>
        <v>HITM</v>
      </c>
    </row>
    <row r="239" spans="4:9">
      <c r="D239" s="1" t="str" cm="1">
        <f t="array" ref="D239">MY_HEX2BIN(C239)</f>
        <v/>
      </c>
      <c r="E239" s="6" t="str">
        <f t="shared" si="16"/>
        <v/>
      </c>
      <c r="G239" s="3" t="str">
        <f t="shared" si="17"/>
        <v/>
      </c>
      <c r="H239" s="5" t="str">
        <f t="shared" si="18"/>
        <v/>
      </c>
      <c r="I239" t="str">
        <f t="shared" si="15"/>
        <v>HITM</v>
      </c>
    </row>
    <row r="240" spans="4:9">
      <c r="D240" s="1" t="str" cm="1">
        <f t="array" ref="D240">MY_HEX2BIN(C240)</f>
        <v/>
      </c>
      <c r="E240" s="6" t="str">
        <f t="shared" si="16"/>
        <v/>
      </c>
      <c r="G240" s="3" t="str">
        <f t="shared" si="17"/>
        <v/>
      </c>
      <c r="H240" s="5" t="str">
        <f t="shared" si="18"/>
        <v/>
      </c>
      <c r="I240" t="str">
        <f t="shared" si="15"/>
        <v>HITM</v>
      </c>
    </row>
    <row r="241" spans="4:9">
      <c r="D241" s="1" t="str" cm="1">
        <f t="array" ref="D241">MY_HEX2BIN(C241)</f>
        <v/>
      </c>
      <c r="E241" s="6" t="str">
        <f t="shared" si="16"/>
        <v/>
      </c>
      <c r="G241" s="3" t="str">
        <f t="shared" si="17"/>
        <v/>
      </c>
      <c r="H241" s="5" t="str">
        <f t="shared" si="18"/>
        <v/>
      </c>
      <c r="I241" t="str">
        <f t="shared" si="15"/>
        <v>HITM</v>
      </c>
    </row>
    <row r="242" spans="4:9">
      <c r="D242" s="1" t="str" cm="1">
        <f t="array" ref="D242">MY_HEX2BIN(C242)</f>
        <v/>
      </c>
      <c r="E242" s="6" t="str">
        <f t="shared" si="16"/>
        <v/>
      </c>
      <c r="G242" s="3" t="str">
        <f t="shared" si="17"/>
        <v/>
      </c>
      <c r="H242" s="5" t="str">
        <f t="shared" si="18"/>
        <v/>
      </c>
      <c r="I242" t="str">
        <f t="shared" si="15"/>
        <v>HITM</v>
      </c>
    </row>
    <row r="243" spans="4:9">
      <c r="D243" s="1" t="str" cm="1">
        <f t="array" ref="D243">MY_HEX2BIN(C243)</f>
        <v/>
      </c>
      <c r="E243" s="6" t="str">
        <f t="shared" si="16"/>
        <v/>
      </c>
      <c r="G243" s="3" t="str">
        <f t="shared" si="17"/>
        <v/>
      </c>
      <c r="H243" s="5" t="str">
        <f t="shared" si="18"/>
        <v/>
      </c>
      <c r="I243" t="str">
        <f t="shared" si="15"/>
        <v>HITM</v>
      </c>
    </row>
    <row r="244" spans="4:9">
      <c r="D244" s="1" t="str" cm="1">
        <f t="array" ref="D244">MY_HEX2BIN(C244)</f>
        <v/>
      </c>
      <c r="E244" s="6" t="str">
        <f t="shared" si="16"/>
        <v/>
      </c>
      <c r="G244" s="3" t="str">
        <f t="shared" si="17"/>
        <v/>
      </c>
      <c r="H244" s="5" t="str">
        <f t="shared" si="18"/>
        <v/>
      </c>
      <c r="I244" t="str">
        <f t="shared" si="15"/>
        <v>HITM</v>
      </c>
    </row>
    <row r="245" spans="4:9">
      <c r="D245" s="1" t="str" cm="1">
        <f t="array" ref="D245">MY_HEX2BIN(C245)</f>
        <v/>
      </c>
      <c r="E245" s="6" t="str">
        <f t="shared" si="16"/>
        <v/>
      </c>
      <c r="G245" s="3" t="str">
        <f t="shared" si="17"/>
        <v/>
      </c>
      <c r="H245" s="5" t="str">
        <f t="shared" si="18"/>
        <v/>
      </c>
      <c r="I245" t="str">
        <f t="shared" si="15"/>
        <v>HITM</v>
      </c>
    </row>
    <row r="246" spans="4:9">
      <c r="D246" s="1" t="str" cm="1">
        <f t="array" ref="D246">MY_HEX2BIN(C246)</f>
        <v/>
      </c>
      <c r="E246" s="6" t="str">
        <f t="shared" si="16"/>
        <v/>
      </c>
      <c r="G246" s="3" t="str">
        <f t="shared" si="17"/>
        <v/>
      </c>
      <c r="H246" s="5" t="str">
        <f t="shared" si="18"/>
        <v/>
      </c>
      <c r="I246" t="str">
        <f t="shared" si="15"/>
        <v>HITM</v>
      </c>
    </row>
    <row r="247" spans="4:9">
      <c r="D247" s="1" t="str" cm="1">
        <f t="array" ref="D247">MY_HEX2BIN(C247)</f>
        <v/>
      </c>
      <c r="E247" s="6" t="str">
        <f t="shared" si="16"/>
        <v/>
      </c>
      <c r="G247" s="3" t="str">
        <f t="shared" si="17"/>
        <v/>
      </c>
      <c r="H247" s="5" t="str">
        <f t="shared" si="18"/>
        <v/>
      </c>
      <c r="I247" t="str">
        <f t="shared" si="15"/>
        <v>HITM</v>
      </c>
    </row>
    <row r="248" spans="4:9">
      <c r="D248" s="1" t="str" cm="1">
        <f t="array" ref="D248">MY_HEX2BIN(C248)</f>
        <v/>
      </c>
      <c r="E248" s="6" t="str">
        <f t="shared" si="16"/>
        <v/>
      </c>
      <c r="G248" s="3" t="str">
        <f t="shared" si="17"/>
        <v/>
      </c>
      <c r="H248" s="5" t="str">
        <f t="shared" si="18"/>
        <v/>
      </c>
      <c r="I248" t="str">
        <f t="shared" si="15"/>
        <v>HITM</v>
      </c>
    </row>
    <row r="249" spans="4:9">
      <c r="D249" s="1" t="str" cm="1">
        <f t="array" ref="D249">MY_HEX2BIN(C249)</f>
        <v/>
      </c>
      <c r="E249" s="6" t="str">
        <f t="shared" si="16"/>
        <v/>
      </c>
      <c r="G249" s="3" t="str">
        <f t="shared" si="17"/>
        <v/>
      </c>
      <c r="H249" s="5" t="str">
        <f t="shared" si="18"/>
        <v/>
      </c>
    </row>
    <row r="250" spans="4:9">
      <c r="D250" s="1" t="str" cm="1">
        <f t="array" ref="D250">MY_HEX2BIN(C250)</f>
        <v/>
      </c>
      <c r="E250" s="6" t="str">
        <f t="shared" si="16"/>
        <v/>
      </c>
      <c r="G250" s="3" t="str">
        <f t="shared" si="17"/>
        <v/>
      </c>
      <c r="H250" s="5" t="str">
        <f t="shared" si="18"/>
        <v/>
      </c>
    </row>
    <row r="251" spans="4:9">
      <c r="D251" s="1" t="str" cm="1">
        <f t="array" ref="D251">MY_HEX2BIN(C251)</f>
        <v/>
      </c>
      <c r="E251" s="6" t="str">
        <f t="shared" si="16"/>
        <v/>
      </c>
      <c r="G251" s="3" t="str">
        <f t="shared" si="17"/>
        <v/>
      </c>
      <c r="H251" s="5" t="str">
        <f t="shared" si="18"/>
        <v/>
      </c>
    </row>
    <row r="252" spans="4:9">
      <c r="D252" s="1" t="str" cm="1">
        <f t="array" ref="D252">MY_HEX2BIN(C252)</f>
        <v/>
      </c>
      <c r="E252" s="6" t="str">
        <f t="shared" si="16"/>
        <v/>
      </c>
      <c r="G252" s="3" t="str">
        <f t="shared" si="17"/>
        <v/>
      </c>
      <c r="H252" s="5" t="str">
        <f t="shared" si="18"/>
        <v/>
      </c>
    </row>
    <row r="253" spans="4:9">
      <c r="D253" s="1" t="str" cm="1">
        <f t="array" ref="D253">MY_HEX2BIN(C253)</f>
        <v/>
      </c>
      <c r="E253" s="6" t="str">
        <f t="shared" si="16"/>
        <v/>
      </c>
      <c r="G253" s="3" t="str">
        <f t="shared" si="17"/>
        <v/>
      </c>
      <c r="H253" s="5" t="str">
        <f t="shared" si="18"/>
        <v/>
      </c>
    </row>
    <row r="254" spans="4:9">
      <c r="D254" s="1" t="str" cm="1">
        <f t="array" ref="D254">MY_HEX2BIN(C254)</f>
        <v/>
      </c>
      <c r="E254" s="6" t="str">
        <f t="shared" si="16"/>
        <v/>
      </c>
      <c r="G254" s="3" t="str">
        <f t="shared" si="17"/>
        <v/>
      </c>
      <c r="H254" s="5" t="str">
        <f t="shared" si="18"/>
        <v/>
      </c>
    </row>
    <row r="255" spans="4:9">
      <c r="D255" s="1" t="str" cm="1">
        <f t="array" ref="D255">MY_HEX2BIN(C255)</f>
        <v/>
      </c>
      <c r="E255" s="6" t="str">
        <f t="shared" si="16"/>
        <v/>
      </c>
      <c r="G255" s="3" t="str">
        <f t="shared" si="17"/>
        <v/>
      </c>
      <c r="H255" s="5" t="str">
        <f t="shared" si="18"/>
        <v/>
      </c>
    </row>
    <row r="256" spans="4:9">
      <c r="D256" s="1" t="str" cm="1">
        <f t="array" ref="D256">MY_HEX2BIN(C256)</f>
        <v/>
      </c>
      <c r="E256" s="6" t="str">
        <f t="shared" si="16"/>
        <v/>
      </c>
      <c r="G256" s="3" t="str">
        <f t="shared" si="17"/>
        <v/>
      </c>
      <c r="H256" s="5" t="str">
        <f t="shared" si="18"/>
        <v/>
      </c>
    </row>
    <row r="257" spans="4:8">
      <c r="D257" s="1" t="str" cm="1">
        <f t="array" ref="D257">MY_HEX2BIN(C257)</f>
        <v/>
      </c>
      <c r="E257" s="6" t="str">
        <f t="shared" si="16"/>
        <v/>
      </c>
      <c r="G257" s="3" t="str">
        <f t="shared" si="17"/>
        <v/>
      </c>
      <c r="H257" s="5" t="str">
        <f t="shared" si="18"/>
        <v/>
      </c>
    </row>
    <row r="258" spans="4:8">
      <c r="D258" s="1" t="str" cm="1">
        <f t="array" ref="D258">MY_HEX2BIN(C258)</f>
        <v/>
      </c>
      <c r="E258" s="6" t="str">
        <f t="shared" si="16"/>
        <v/>
      </c>
      <c r="G258" s="3" t="str">
        <f t="shared" si="17"/>
        <v/>
      </c>
      <c r="H258" s="5" t="str">
        <f t="shared" si="18"/>
        <v/>
      </c>
    </row>
    <row r="259" spans="4:8">
      <c r="D259" s="1" t="str" cm="1">
        <f t="array" ref="D259">MY_HEX2BIN(C259)</f>
        <v/>
      </c>
      <c r="E259" s="6" t="str">
        <f t="shared" si="16"/>
        <v/>
      </c>
      <c r="G259" s="3" t="str">
        <f t="shared" si="17"/>
        <v/>
      </c>
      <c r="H259" s="5" t="str">
        <f t="shared" si="18"/>
        <v/>
      </c>
    </row>
    <row r="260" spans="4:8">
      <c r="D260" s="1" t="str" cm="1">
        <f t="array" ref="D260">MY_HEX2BIN(C260)</f>
        <v/>
      </c>
      <c r="E260" s="6" t="str">
        <f t="shared" si="16"/>
        <v/>
      </c>
      <c r="G260" s="3" t="str">
        <f t="shared" si="17"/>
        <v/>
      </c>
      <c r="H260" s="5" t="str">
        <f t="shared" si="18"/>
        <v/>
      </c>
    </row>
    <row r="261" spans="4:8">
      <c r="D261" s="1" t="str" cm="1">
        <f t="array" ref="D261">MY_HEX2BIN(C261)</f>
        <v/>
      </c>
      <c r="E261" s="6" t="str">
        <f t="shared" si="16"/>
        <v/>
      </c>
      <c r="G261" s="3" t="str">
        <f t="shared" si="17"/>
        <v/>
      </c>
      <c r="H261" s="5" t="str">
        <f t="shared" si="18"/>
        <v/>
      </c>
    </row>
    <row r="262" spans="4:8">
      <c r="D262" s="1" t="str" cm="1">
        <f t="array" ref="D262">MY_HEX2BIN(C262)</f>
        <v/>
      </c>
      <c r="E262" s="6" t="str">
        <f t="shared" si="16"/>
        <v/>
      </c>
      <c r="G262" s="3" t="str">
        <f t="shared" si="17"/>
        <v/>
      </c>
      <c r="H262" s="5" t="str">
        <f t="shared" si="18"/>
        <v/>
      </c>
    </row>
    <row r="263" spans="4:8">
      <c r="D263" s="1" t="str" cm="1">
        <f t="array" ref="D263">MY_HEX2BIN(C263)</f>
        <v/>
      </c>
      <c r="E263" s="6" t="str">
        <f t="shared" si="16"/>
        <v/>
      </c>
      <c r="G263" s="3" t="str">
        <f t="shared" si="17"/>
        <v/>
      </c>
      <c r="H263" s="5" t="str">
        <f t="shared" si="18"/>
        <v/>
      </c>
    </row>
    <row r="264" spans="4:8">
      <c r="D264" s="1" t="str" cm="1">
        <f t="array" ref="D264">MY_HEX2BIN(C264)</f>
        <v/>
      </c>
      <c r="E264" s="6" t="str">
        <f t="shared" si="16"/>
        <v/>
      </c>
      <c r="G264" s="3" t="str">
        <f t="shared" si="17"/>
        <v/>
      </c>
      <c r="H264" s="5" t="str">
        <f t="shared" si="18"/>
        <v/>
      </c>
    </row>
    <row r="265" spans="4:8">
      <c r="D265" s="1" t="str" cm="1">
        <f t="array" ref="D265">MY_HEX2BIN(C265)</f>
        <v/>
      </c>
      <c r="E265" s="6" t="str">
        <f t="shared" si="16"/>
        <v/>
      </c>
      <c r="G265" s="3" t="str">
        <f t="shared" si="17"/>
        <v/>
      </c>
      <c r="H265" s="5" t="str">
        <f t="shared" si="18"/>
        <v/>
      </c>
    </row>
    <row r="266" spans="4:8">
      <c r="D266" s="1" t="str" cm="1">
        <f t="array" ref="D266">MY_HEX2BIN(C266)</f>
        <v/>
      </c>
      <c r="E266" s="6" t="str">
        <f t="shared" si="16"/>
        <v/>
      </c>
      <c r="G266" s="3" t="str">
        <f t="shared" si="17"/>
        <v/>
      </c>
      <c r="H266" s="5" t="str">
        <f t="shared" si="18"/>
        <v/>
      </c>
    </row>
    <row r="267" spans="4:8">
      <c r="D267" s="1" t="str" cm="1">
        <f t="array" ref="D267">MY_HEX2BIN(C267)</f>
        <v/>
      </c>
      <c r="E267" s="6" t="str">
        <f t="shared" ref="E220:E283" si="19">MID(D267,1,15)</f>
        <v/>
      </c>
      <c r="G267" s="3" t="str">
        <f t="shared" si="17"/>
        <v/>
      </c>
      <c r="H267" s="5" t="str">
        <f t="shared" si="18"/>
        <v/>
      </c>
    </row>
    <row r="268" spans="4:8">
      <c r="D268" s="1" t="str" cm="1">
        <f t="array" ref="D268">MY_HEX2BIN(C268)</f>
        <v/>
      </c>
      <c r="E268" s="6" t="str">
        <f t="shared" si="19"/>
        <v/>
      </c>
      <c r="G268" s="3" t="str">
        <f t="shared" si="17"/>
        <v/>
      </c>
      <c r="H268" s="5" t="str">
        <f t="shared" si="18"/>
        <v/>
      </c>
    </row>
    <row r="269" spans="4:8">
      <c r="D269" s="1" t="str" cm="1">
        <f t="array" ref="D269">MY_HEX2BIN(C269)</f>
        <v/>
      </c>
      <c r="E269" s="6" t="str">
        <f t="shared" si="19"/>
        <v/>
      </c>
      <c r="G269" s="3" t="str">
        <f t="shared" si="17"/>
        <v/>
      </c>
      <c r="H269" s="5" t="str">
        <f t="shared" si="18"/>
        <v/>
      </c>
    </row>
    <row r="270" spans="4:8">
      <c r="D270" s="1" t="str" cm="1">
        <f t="array" ref="D270">MY_HEX2BIN(C270)</f>
        <v/>
      </c>
      <c r="E270" s="6" t="str">
        <f t="shared" si="19"/>
        <v/>
      </c>
      <c r="G270" s="3" t="str">
        <f t="shared" si="17"/>
        <v/>
      </c>
      <c r="H270" s="5" t="str">
        <f t="shared" si="18"/>
        <v/>
      </c>
    </row>
    <row r="271" spans="4:8">
      <c r="D271" s="1" t="str" cm="1">
        <f t="array" ref="D271">MY_HEX2BIN(C271)</f>
        <v/>
      </c>
      <c r="E271" s="6" t="str">
        <f t="shared" si="19"/>
        <v/>
      </c>
      <c r="G271" s="3" t="str">
        <f t="shared" si="17"/>
        <v/>
      </c>
      <c r="H271" s="5" t="str">
        <f t="shared" si="18"/>
        <v/>
      </c>
    </row>
    <row r="272" spans="4:8">
      <c r="D272" s="1" t="str" cm="1">
        <f t="array" ref="D272">MY_HEX2BIN(C272)</f>
        <v/>
      </c>
      <c r="E272" s="6" t="str">
        <f t="shared" si="19"/>
        <v/>
      </c>
      <c r="G272" s="3" t="str">
        <f t="shared" si="17"/>
        <v/>
      </c>
      <c r="H272" s="5" t="str">
        <f t="shared" si="18"/>
        <v/>
      </c>
    </row>
    <row r="273" spans="4:8">
      <c r="D273" s="1" t="str" cm="1">
        <f t="array" ref="D273">MY_HEX2BIN(C273)</f>
        <v/>
      </c>
      <c r="E273" s="6" t="str">
        <f t="shared" si="19"/>
        <v/>
      </c>
      <c r="G273" s="3" t="str">
        <f t="shared" si="17"/>
        <v/>
      </c>
      <c r="H273" s="5" t="str">
        <f t="shared" si="18"/>
        <v/>
      </c>
    </row>
    <row r="274" spans="4:8">
      <c r="D274" s="1" t="str" cm="1">
        <f t="array" ref="D274">MY_HEX2BIN(C274)</f>
        <v/>
      </c>
      <c r="E274" s="6" t="str">
        <f t="shared" si="19"/>
        <v/>
      </c>
      <c r="G274" s="3" t="str">
        <f t="shared" si="17"/>
        <v/>
      </c>
      <c r="H274" s="5" t="str">
        <f t="shared" si="18"/>
        <v/>
      </c>
    </row>
    <row r="275" spans="4:8">
      <c r="D275" s="1" t="str" cm="1">
        <f t="array" ref="D275">MY_HEX2BIN(C275)</f>
        <v/>
      </c>
      <c r="E275" s="6" t="str">
        <f t="shared" si="19"/>
        <v/>
      </c>
      <c r="G275" s="3" t="str">
        <f t="shared" si="17"/>
        <v/>
      </c>
      <c r="H275" s="5" t="str">
        <f t="shared" si="18"/>
        <v/>
      </c>
    </row>
    <row r="276" spans="4:8">
      <c r="D276" s="1" t="str" cm="1">
        <f t="array" ref="D276">MY_HEX2BIN(C276)</f>
        <v/>
      </c>
      <c r="E276" s="6" t="str">
        <f t="shared" si="19"/>
        <v/>
      </c>
      <c r="G276" s="3" t="str">
        <f t="shared" si="17"/>
        <v/>
      </c>
      <c r="H276" s="5" t="str">
        <f t="shared" si="18"/>
        <v/>
      </c>
    </row>
    <row r="277" spans="4:8">
      <c r="D277" s="1" t="str" cm="1">
        <f t="array" ref="D277">MY_HEX2BIN(C277)</f>
        <v/>
      </c>
      <c r="E277" s="6" t="str">
        <f t="shared" si="19"/>
        <v/>
      </c>
      <c r="G277" s="3" t="str">
        <f t="shared" si="17"/>
        <v/>
      </c>
      <c r="H277" s="5" t="str">
        <f t="shared" si="18"/>
        <v/>
      </c>
    </row>
    <row r="278" spans="4:8">
      <c r="D278" s="1" t="str" cm="1">
        <f t="array" ref="D278">MY_HEX2BIN(C278)</f>
        <v/>
      </c>
      <c r="E278" s="6" t="str">
        <f t="shared" si="19"/>
        <v/>
      </c>
      <c r="G278" s="3" t="str">
        <f t="shared" si="17"/>
        <v/>
      </c>
      <c r="H278" s="5" t="str">
        <f t="shared" si="18"/>
        <v/>
      </c>
    </row>
    <row r="279" spans="4:8">
      <c r="D279" s="1" t="str" cm="1">
        <f t="array" ref="D279">MY_HEX2BIN(C279)</f>
        <v/>
      </c>
      <c r="E279" s="6" t="str">
        <f t="shared" si="19"/>
        <v/>
      </c>
      <c r="G279" s="3" t="str">
        <f t="shared" si="17"/>
        <v/>
      </c>
      <c r="H279" s="5" t="str">
        <f t="shared" si="18"/>
        <v/>
      </c>
    </row>
    <row r="280" spans="4:8">
      <c r="D280" s="1" t="str" cm="1">
        <f t="array" ref="D280">MY_HEX2BIN(C280)</f>
        <v/>
      </c>
      <c r="E280" s="6" t="str">
        <f t="shared" si="19"/>
        <v/>
      </c>
      <c r="G280" s="3" t="str">
        <f t="shared" ref="G280:G343" si="20">MID(D280,12,15)</f>
        <v/>
      </c>
      <c r="H280" s="5" t="str">
        <f t="shared" ref="H280:H343" si="21">MID(D280,27,6)</f>
        <v/>
      </c>
    </row>
    <row r="281" spans="4:8">
      <c r="D281" s="1" t="str" cm="1">
        <f t="array" ref="D281">MY_HEX2BIN(C281)</f>
        <v/>
      </c>
      <c r="E281" s="6" t="str">
        <f t="shared" si="19"/>
        <v/>
      </c>
      <c r="G281" s="3" t="str">
        <f t="shared" si="20"/>
        <v/>
      </c>
      <c r="H281" s="5" t="str">
        <f t="shared" si="21"/>
        <v/>
      </c>
    </row>
    <row r="282" spans="4:8">
      <c r="D282" s="1" t="str" cm="1">
        <f t="array" ref="D282">MY_HEX2BIN(C282)</f>
        <v/>
      </c>
      <c r="E282" s="6" t="str">
        <f t="shared" si="19"/>
        <v/>
      </c>
      <c r="G282" s="3" t="str">
        <f t="shared" si="20"/>
        <v/>
      </c>
      <c r="H282" s="5" t="str">
        <f t="shared" si="21"/>
        <v/>
      </c>
    </row>
    <row r="283" spans="4:8">
      <c r="D283" s="1" t="str" cm="1">
        <f t="array" ref="D283">MY_HEX2BIN(C283)</f>
        <v/>
      </c>
      <c r="E283" s="6" t="str">
        <f t="shared" si="19"/>
        <v/>
      </c>
      <c r="G283" s="3" t="str">
        <f t="shared" si="20"/>
        <v/>
      </c>
      <c r="H283" s="5" t="str">
        <f t="shared" si="21"/>
        <v/>
      </c>
    </row>
    <row r="284" spans="4:8">
      <c r="D284" s="1" t="str" cm="1">
        <f t="array" ref="D284">MY_HEX2BIN(C284)</f>
        <v/>
      </c>
      <c r="E284" s="6" t="str">
        <f t="shared" ref="E284:E347" si="22">MID(D284,1,15)</f>
        <v/>
      </c>
      <c r="G284" s="3" t="str">
        <f t="shared" si="20"/>
        <v/>
      </c>
      <c r="H284" s="5" t="str">
        <f t="shared" si="21"/>
        <v/>
      </c>
    </row>
    <row r="285" spans="4:8">
      <c r="D285" s="1" t="str" cm="1">
        <f t="array" ref="D285">MY_HEX2BIN(C285)</f>
        <v/>
      </c>
      <c r="E285" s="6" t="str">
        <f t="shared" si="22"/>
        <v/>
      </c>
      <c r="G285" s="3" t="str">
        <f t="shared" si="20"/>
        <v/>
      </c>
      <c r="H285" s="5" t="str">
        <f t="shared" si="21"/>
        <v/>
      </c>
    </row>
    <row r="286" spans="4:8">
      <c r="D286" s="1" t="str" cm="1">
        <f t="array" ref="D286">MY_HEX2BIN(C286)</f>
        <v/>
      </c>
      <c r="E286" s="6" t="str">
        <f t="shared" si="22"/>
        <v/>
      </c>
      <c r="G286" s="3" t="str">
        <f t="shared" si="20"/>
        <v/>
      </c>
      <c r="H286" s="5" t="str">
        <f t="shared" si="21"/>
        <v/>
      </c>
    </row>
    <row r="287" spans="4:8">
      <c r="D287" s="1" t="str" cm="1">
        <f t="array" ref="D287">MY_HEX2BIN(C287)</f>
        <v/>
      </c>
      <c r="E287" s="6" t="str">
        <f t="shared" si="22"/>
        <v/>
      </c>
      <c r="G287" s="3" t="str">
        <f t="shared" si="20"/>
        <v/>
      </c>
      <c r="H287" s="5" t="str">
        <f t="shared" si="21"/>
        <v/>
      </c>
    </row>
    <row r="288" spans="4:8">
      <c r="D288" s="1" t="str" cm="1">
        <f t="array" ref="D288">MY_HEX2BIN(C288)</f>
        <v/>
      </c>
      <c r="E288" s="6" t="str">
        <f t="shared" si="22"/>
        <v/>
      </c>
      <c r="G288" s="3" t="str">
        <f t="shared" si="20"/>
        <v/>
      </c>
      <c r="H288" s="5" t="str">
        <f t="shared" si="21"/>
        <v/>
      </c>
    </row>
    <row r="289" spans="4:8">
      <c r="D289" s="1" t="str" cm="1">
        <f t="array" ref="D289">MY_HEX2BIN(C289)</f>
        <v/>
      </c>
      <c r="E289" s="6" t="str">
        <f t="shared" si="22"/>
        <v/>
      </c>
      <c r="G289" s="3" t="str">
        <f t="shared" si="20"/>
        <v/>
      </c>
      <c r="H289" s="5" t="str">
        <f t="shared" si="21"/>
        <v/>
      </c>
    </row>
    <row r="290" spans="4:8">
      <c r="D290" s="1" t="str" cm="1">
        <f t="array" ref="D290">MY_HEX2BIN(C290)</f>
        <v/>
      </c>
      <c r="E290" s="6" t="str">
        <f t="shared" si="22"/>
        <v/>
      </c>
      <c r="G290" s="3" t="str">
        <f t="shared" si="20"/>
        <v/>
      </c>
      <c r="H290" s="5" t="str">
        <f t="shared" si="21"/>
        <v/>
      </c>
    </row>
    <row r="291" spans="4:8">
      <c r="D291" s="1" t="str" cm="1">
        <f t="array" ref="D291">MY_HEX2BIN(C291)</f>
        <v/>
      </c>
      <c r="E291" s="6" t="str">
        <f t="shared" si="22"/>
        <v/>
      </c>
      <c r="G291" s="3" t="str">
        <f t="shared" si="20"/>
        <v/>
      </c>
      <c r="H291" s="5" t="str">
        <f t="shared" si="21"/>
        <v/>
      </c>
    </row>
    <row r="292" spans="4:8">
      <c r="D292" s="1" t="str" cm="1">
        <f t="array" ref="D292">MY_HEX2BIN(C292)</f>
        <v/>
      </c>
      <c r="E292" s="6" t="str">
        <f t="shared" si="22"/>
        <v/>
      </c>
      <c r="G292" s="3" t="str">
        <f t="shared" si="20"/>
        <v/>
      </c>
      <c r="H292" s="5" t="str">
        <f t="shared" si="21"/>
        <v/>
      </c>
    </row>
    <row r="293" spans="4:8">
      <c r="D293" s="1" t="str" cm="1">
        <f t="array" ref="D293">MY_HEX2BIN(C293)</f>
        <v/>
      </c>
      <c r="E293" s="6" t="str">
        <f t="shared" si="22"/>
        <v/>
      </c>
      <c r="G293" s="3" t="str">
        <f t="shared" si="20"/>
        <v/>
      </c>
      <c r="H293" s="5" t="str">
        <f t="shared" si="21"/>
        <v/>
      </c>
    </row>
    <row r="294" spans="4:8">
      <c r="D294" s="1" t="str" cm="1">
        <f t="array" ref="D294">MY_HEX2BIN(C294)</f>
        <v/>
      </c>
      <c r="E294" s="6" t="str">
        <f t="shared" si="22"/>
        <v/>
      </c>
      <c r="G294" s="3" t="str">
        <f t="shared" si="20"/>
        <v/>
      </c>
      <c r="H294" s="5" t="str">
        <f t="shared" si="21"/>
        <v/>
      </c>
    </row>
    <row r="295" spans="4:8">
      <c r="D295" s="1" t="str" cm="1">
        <f t="array" ref="D295">MY_HEX2BIN(C295)</f>
        <v/>
      </c>
      <c r="E295" s="6" t="str">
        <f t="shared" si="22"/>
        <v/>
      </c>
      <c r="G295" s="3" t="str">
        <f t="shared" si="20"/>
        <v/>
      </c>
      <c r="H295" s="5" t="str">
        <f t="shared" si="21"/>
        <v/>
      </c>
    </row>
    <row r="296" spans="4:8">
      <c r="D296" s="1" t="str" cm="1">
        <f t="array" ref="D296">MY_HEX2BIN(C296)</f>
        <v/>
      </c>
      <c r="E296" s="6" t="str">
        <f t="shared" si="22"/>
        <v/>
      </c>
      <c r="G296" s="3" t="str">
        <f t="shared" si="20"/>
        <v/>
      </c>
      <c r="H296" s="5" t="str">
        <f t="shared" si="21"/>
        <v/>
      </c>
    </row>
    <row r="297" spans="4:8">
      <c r="D297" s="1" t="str" cm="1">
        <f t="array" ref="D297">MY_HEX2BIN(C297)</f>
        <v/>
      </c>
      <c r="E297" s="6" t="str">
        <f t="shared" si="22"/>
        <v/>
      </c>
      <c r="G297" s="3" t="str">
        <f t="shared" si="20"/>
        <v/>
      </c>
      <c r="H297" s="5" t="str">
        <f t="shared" si="21"/>
        <v/>
      </c>
    </row>
    <row r="298" spans="4:8">
      <c r="D298" s="1" t="str" cm="1">
        <f t="array" ref="D298">MY_HEX2BIN(C298)</f>
        <v/>
      </c>
      <c r="E298" s="6" t="str">
        <f t="shared" si="22"/>
        <v/>
      </c>
      <c r="G298" s="3" t="str">
        <f t="shared" si="20"/>
        <v/>
      </c>
      <c r="H298" s="5" t="str">
        <f t="shared" si="21"/>
        <v/>
      </c>
    </row>
    <row r="299" spans="4:8">
      <c r="D299" s="1" t="str" cm="1">
        <f t="array" ref="D299">MY_HEX2BIN(C299)</f>
        <v/>
      </c>
      <c r="E299" s="6" t="str">
        <f t="shared" si="22"/>
        <v/>
      </c>
      <c r="G299" s="3" t="str">
        <f t="shared" si="20"/>
        <v/>
      </c>
      <c r="H299" s="5" t="str">
        <f t="shared" si="21"/>
        <v/>
      </c>
    </row>
    <row r="300" spans="4:8">
      <c r="D300" s="1" t="str" cm="1">
        <f t="array" ref="D300">MY_HEX2BIN(C300)</f>
        <v/>
      </c>
      <c r="E300" s="6" t="str">
        <f t="shared" si="22"/>
        <v/>
      </c>
      <c r="G300" s="3" t="str">
        <f t="shared" si="20"/>
        <v/>
      </c>
      <c r="H300" s="5" t="str">
        <f t="shared" si="21"/>
        <v/>
      </c>
    </row>
    <row r="301" spans="4:8">
      <c r="D301" s="1" t="str" cm="1">
        <f t="array" ref="D301">MY_HEX2BIN(C301)</f>
        <v/>
      </c>
      <c r="E301" s="6" t="str">
        <f t="shared" si="22"/>
        <v/>
      </c>
      <c r="G301" s="3" t="str">
        <f t="shared" si="20"/>
        <v/>
      </c>
      <c r="H301" s="5" t="str">
        <f t="shared" si="21"/>
        <v/>
      </c>
    </row>
    <row r="302" spans="4:8">
      <c r="D302" s="1" t="str" cm="1">
        <f t="array" ref="D302">MY_HEX2BIN(C302)</f>
        <v/>
      </c>
      <c r="E302" s="6" t="str">
        <f t="shared" si="22"/>
        <v/>
      </c>
      <c r="G302" s="3" t="str">
        <f t="shared" si="20"/>
        <v/>
      </c>
      <c r="H302" s="5" t="str">
        <f t="shared" si="21"/>
        <v/>
      </c>
    </row>
    <row r="303" spans="4:8">
      <c r="D303" s="1" t="str" cm="1">
        <f t="array" ref="D303">MY_HEX2BIN(C303)</f>
        <v/>
      </c>
      <c r="E303" s="6" t="str">
        <f t="shared" si="22"/>
        <v/>
      </c>
      <c r="G303" s="3" t="str">
        <f t="shared" si="20"/>
        <v/>
      </c>
      <c r="H303" s="5" t="str">
        <f t="shared" si="21"/>
        <v/>
      </c>
    </row>
    <row r="304" spans="4:8">
      <c r="D304" s="1" t="str" cm="1">
        <f t="array" ref="D304">MY_HEX2BIN(C304)</f>
        <v/>
      </c>
      <c r="E304" s="6" t="str">
        <f t="shared" si="22"/>
        <v/>
      </c>
      <c r="G304" s="3" t="str">
        <f t="shared" si="20"/>
        <v/>
      </c>
      <c r="H304" s="5" t="str">
        <f t="shared" si="21"/>
        <v/>
      </c>
    </row>
    <row r="305" spans="4:8">
      <c r="D305" s="1" t="str" cm="1">
        <f t="array" ref="D305">MY_HEX2BIN(C305)</f>
        <v/>
      </c>
      <c r="E305" s="6" t="str">
        <f t="shared" si="22"/>
        <v/>
      </c>
      <c r="G305" s="3" t="str">
        <f t="shared" si="20"/>
        <v/>
      </c>
      <c r="H305" s="5" t="str">
        <f t="shared" si="21"/>
        <v/>
      </c>
    </row>
    <row r="306" spans="4:8">
      <c r="D306" s="1" t="str" cm="1">
        <f t="array" ref="D306">MY_HEX2BIN(C306)</f>
        <v/>
      </c>
      <c r="E306" s="6" t="str">
        <f t="shared" si="22"/>
        <v/>
      </c>
      <c r="G306" s="3" t="str">
        <f t="shared" si="20"/>
        <v/>
      </c>
      <c r="H306" s="5" t="str">
        <f t="shared" si="21"/>
        <v/>
      </c>
    </row>
    <row r="307" spans="4:8">
      <c r="D307" s="1" t="str" cm="1">
        <f t="array" ref="D307">MY_HEX2BIN(C307)</f>
        <v/>
      </c>
      <c r="E307" s="6" t="str">
        <f t="shared" si="22"/>
        <v/>
      </c>
      <c r="G307" s="3" t="str">
        <f t="shared" si="20"/>
        <v/>
      </c>
      <c r="H307" s="5" t="str">
        <f t="shared" si="21"/>
        <v/>
      </c>
    </row>
    <row r="308" spans="4:8">
      <c r="D308" s="1" t="str" cm="1">
        <f t="array" ref="D308">MY_HEX2BIN(C308)</f>
        <v/>
      </c>
      <c r="E308" s="6" t="str">
        <f t="shared" si="22"/>
        <v/>
      </c>
      <c r="G308" s="3" t="str">
        <f t="shared" si="20"/>
        <v/>
      </c>
      <c r="H308" s="5" t="str">
        <f t="shared" si="21"/>
        <v/>
      </c>
    </row>
    <row r="309" spans="4:8">
      <c r="D309" s="1" t="str" cm="1">
        <f t="array" ref="D309">MY_HEX2BIN(C309)</f>
        <v/>
      </c>
      <c r="E309" s="6" t="str">
        <f t="shared" si="22"/>
        <v/>
      </c>
      <c r="G309" s="3" t="str">
        <f t="shared" si="20"/>
        <v/>
      </c>
      <c r="H309" s="5" t="str">
        <f t="shared" si="21"/>
        <v/>
      </c>
    </row>
    <row r="310" spans="4:8">
      <c r="D310" s="1" t="str" cm="1">
        <f t="array" ref="D310">MY_HEX2BIN(C310)</f>
        <v/>
      </c>
      <c r="E310" s="6" t="str">
        <f t="shared" si="22"/>
        <v/>
      </c>
      <c r="G310" s="3" t="str">
        <f t="shared" si="20"/>
        <v/>
      </c>
      <c r="H310" s="5" t="str">
        <f t="shared" si="21"/>
        <v/>
      </c>
    </row>
    <row r="311" spans="4:8">
      <c r="D311" s="1" t="str" cm="1">
        <f t="array" ref="D311">MY_HEX2BIN(C311)</f>
        <v/>
      </c>
      <c r="E311" s="6" t="str">
        <f t="shared" si="22"/>
        <v/>
      </c>
      <c r="G311" s="3" t="str">
        <f t="shared" si="20"/>
        <v/>
      </c>
      <c r="H311" s="5" t="str">
        <f t="shared" si="21"/>
        <v/>
      </c>
    </row>
    <row r="312" spans="4:8">
      <c r="D312" s="1" t="str" cm="1">
        <f t="array" ref="D312">MY_HEX2BIN(C312)</f>
        <v/>
      </c>
      <c r="E312" s="6" t="str">
        <f t="shared" si="22"/>
        <v/>
      </c>
      <c r="G312" s="3" t="str">
        <f t="shared" si="20"/>
        <v/>
      </c>
      <c r="H312" s="5" t="str">
        <f t="shared" si="21"/>
        <v/>
      </c>
    </row>
    <row r="313" spans="4:8">
      <c r="D313" s="1" t="str" cm="1">
        <f t="array" ref="D313">MY_HEX2BIN(C313)</f>
        <v/>
      </c>
      <c r="E313" s="6" t="str">
        <f t="shared" si="22"/>
        <v/>
      </c>
      <c r="G313" s="3" t="str">
        <f t="shared" si="20"/>
        <v/>
      </c>
      <c r="H313" s="5" t="str">
        <f t="shared" si="21"/>
        <v/>
      </c>
    </row>
    <row r="314" spans="4:8">
      <c r="D314" s="1" t="str" cm="1">
        <f t="array" ref="D314">MY_HEX2BIN(C314)</f>
        <v/>
      </c>
      <c r="E314" s="6" t="str">
        <f t="shared" si="22"/>
        <v/>
      </c>
      <c r="G314" s="3" t="str">
        <f t="shared" si="20"/>
        <v/>
      </c>
      <c r="H314" s="5" t="str">
        <f t="shared" si="21"/>
        <v/>
      </c>
    </row>
    <row r="315" spans="4:8">
      <c r="D315" s="1" t="str" cm="1">
        <f t="array" ref="D315">MY_HEX2BIN(C315)</f>
        <v/>
      </c>
      <c r="E315" s="6" t="str">
        <f t="shared" si="22"/>
        <v/>
      </c>
      <c r="G315" s="3" t="str">
        <f t="shared" si="20"/>
        <v/>
      </c>
      <c r="H315" s="5" t="str">
        <f t="shared" si="21"/>
        <v/>
      </c>
    </row>
    <row r="316" spans="4:8">
      <c r="D316" s="1" t="str" cm="1">
        <f t="array" ref="D316">MY_HEX2BIN(C316)</f>
        <v/>
      </c>
      <c r="E316" s="6" t="str">
        <f t="shared" si="22"/>
        <v/>
      </c>
      <c r="G316" s="3" t="str">
        <f t="shared" si="20"/>
        <v/>
      </c>
      <c r="H316" s="5" t="str">
        <f t="shared" si="21"/>
        <v/>
      </c>
    </row>
    <row r="317" spans="4:8">
      <c r="D317" s="1" t="str" cm="1">
        <f t="array" ref="D317">MY_HEX2BIN(C317)</f>
        <v/>
      </c>
      <c r="E317" s="6" t="str">
        <f t="shared" si="22"/>
        <v/>
      </c>
      <c r="G317" s="3" t="str">
        <f t="shared" si="20"/>
        <v/>
      </c>
      <c r="H317" s="5" t="str">
        <f t="shared" si="21"/>
        <v/>
      </c>
    </row>
    <row r="318" spans="4:8">
      <c r="D318" s="1" t="str" cm="1">
        <f t="array" ref="D318">MY_HEX2BIN(C318)</f>
        <v/>
      </c>
      <c r="E318" s="6" t="str">
        <f t="shared" si="22"/>
        <v/>
      </c>
      <c r="G318" s="3" t="str">
        <f t="shared" si="20"/>
        <v/>
      </c>
      <c r="H318" s="5" t="str">
        <f t="shared" si="21"/>
        <v/>
      </c>
    </row>
    <row r="319" spans="4:8">
      <c r="D319" s="1" t="str" cm="1">
        <f t="array" ref="D319">MY_HEX2BIN(C319)</f>
        <v/>
      </c>
      <c r="E319" s="6" t="str">
        <f t="shared" si="22"/>
        <v/>
      </c>
      <c r="G319" s="3" t="str">
        <f t="shared" si="20"/>
        <v/>
      </c>
      <c r="H319" s="5" t="str">
        <f t="shared" si="21"/>
        <v/>
      </c>
    </row>
    <row r="320" spans="4:8">
      <c r="D320" s="1" t="str" cm="1">
        <f t="array" ref="D320">MY_HEX2BIN(C320)</f>
        <v/>
      </c>
      <c r="E320" s="6" t="str">
        <f t="shared" si="22"/>
        <v/>
      </c>
      <c r="G320" s="3" t="str">
        <f t="shared" si="20"/>
        <v/>
      </c>
      <c r="H320" s="5" t="str">
        <f t="shared" si="21"/>
        <v/>
      </c>
    </row>
    <row r="321" spans="4:8">
      <c r="D321" s="1" t="str" cm="1">
        <f t="array" ref="D321">MY_HEX2BIN(C321)</f>
        <v/>
      </c>
      <c r="E321" s="6" t="str">
        <f t="shared" si="22"/>
        <v/>
      </c>
      <c r="G321" s="3" t="str">
        <f t="shared" si="20"/>
        <v/>
      </c>
      <c r="H321" s="5" t="str">
        <f t="shared" si="21"/>
        <v/>
      </c>
    </row>
    <row r="322" spans="4:8">
      <c r="D322" s="1" t="str" cm="1">
        <f t="array" ref="D322">MY_HEX2BIN(C322)</f>
        <v/>
      </c>
      <c r="E322" s="6" t="str">
        <f t="shared" si="22"/>
        <v/>
      </c>
      <c r="G322" s="3" t="str">
        <f t="shared" si="20"/>
        <v/>
      </c>
      <c r="H322" s="5" t="str">
        <f t="shared" si="21"/>
        <v/>
      </c>
    </row>
    <row r="323" spans="4:8">
      <c r="D323" s="1" t="str" cm="1">
        <f t="array" ref="D323">MY_HEX2BIN(C323)</f>
        <v/>
      </c>
      <c r="E323" s="6" t="str">
        <f t="shared" si="22"/>
        <v/>
      </c>
      <c r="G323" s="3" t="str">
        <f t="shared" si="20"/>
        <v/>
      </c>
      <c r="H323" s="5" t="str">
        <f t="shared" si="21"/>
        <v/>
      </c>
    </row>
    <row r="324" spans="4:8">
      <c r="D324" s="1" t="str" cm="1">
        <f t="array" ref="D324">MY_HEX2BIN(C324)</f>
        <v/>
      </c>
      <c r="E324" s="6" t="str">
        <f t="shared" si="22"/>
        <v/>
      </c>
      <c r="G324" s="3" t="str">
        <f t="shared" si="20"/>
        <v/>
      </c>
      <c r="H324" s="5" t="str">
        <f t="shared" si="21"/>
        <v/>
      </c>
    </row>
    <row r="325" spans="4:8">
      <c r="D325" s="1" t="str" cm="1">
        <f t="array" ref="D325">MY_HEX2BIN(C325)</f>
        <v/>
      </c>
      <c r="E325" s="6" t="str">
        <f t="shared" si="22"/>
        <v/>
      </c>
      <c r="G325" s="3" t="str">
        <f t="shared" si="20"/>
        <v/>
      </c>
      <c r="H325" s="5" t="str">
        <f t="shared" si="21"/>
        <v/>
      </c>
    </row>
    <row r="326" spans="4:8">
      <c r="D326" s="1" t="str" cm="1">
        <f t="array" ref="D326">MY_HEX2BIN(C326)</f>
        <v/>
      </c>
      <c r="E326" s="6" t="str">
        <f t="shared" si="22"/>
        <v/>
      </c>
      <c r="G326" s="3" t="str">
        <f t="shared" si="20"/>
        <v/>
      </c>
      <c r="H326" s="5" t="str">
        <f t="shared" si="21"/>
        <v/>
      </c>
    </row>
    <row r="327" spans="4:8">
      <c r="D327" s="1" t="str" cm="1">
        <f t="array" ref="D327">MY_HEX2BIN(C327)</f>
        <v/>
      </c>
      <c r="E327" s="6" t="str">
        <f t="shared" si="22"/>
        <v/>
      </c>
      <c r="G327" s="3" t="str">
        <f t="shared" si="20"/>
        <v/>
      </c>
      <c r="H327" s="5" t="str">
        <f t="shared" si="21"/>
        <v/>
      </c>
    </row>
    <row r="328" spans="4:8">
      <c r="D328" s="1" t="str" cm="1">
        <f t="array" ref="D328">MY_HEX2BIN(C328)</f>
        <v/>
      </c>
      <c r="E328" s="6" t="str">
        <f t="shared" si="22"/>
        <v/>
      </c>
      <c r="G328" s="3" t="str">
        <f t="shared" si="20"/>
        <v/>
      </c>
      <c r="H328" s="5" t="str">
        <f t="shared" si="21"/>
        <v/>
      </c>
    </row>
    <row r="329" spans="4:8">
      <c r="D329" s="1" t="str" cm="1">
        <f t="array" ref="D329">MY_HEX2BIN(C329)</f>
        <v/>
      </c>
      <c r="E329" s="6" t="str">
        <f t="shared" si="22"/>
        <v/>
      </c>
      <c r="G329" s="3" t="str">
        <f t="shared" si="20"/>
        <v/>
      </c>
      <c r="H329" s="5" t="str">
        <f t="shared" si="21"/>
        <v/>
      </c>
    </row>
    <row r="330" spans="4:8">
      <c r="D330" s="1" t="str" cm="1">
        <f t="array" ref="D330">MY_HEX2BIN(C330)</f>
        <v/>
      </c>
      <c r="E330" s="6" t="str">
        <f t="shared" si="22"/>
        <v/>
      </c>
      <c r="G330" s="3" t="str">
        <f t="shared" si="20"/>
        <v/>
      </c>
      <c r="H330" s="5" t="str">
        <f t="shared" si="21"/>
        <v/>
      </c>
    </row>
    <row r="331" spans="4:8">
      <c r="D331" s="1" t="str" cm="1">
        <f t="array" ref="D331">MY_HEX2BIN(C331)</f>
        <v/>
      </c>
      <c r="E331" s="6" t="str">
        <f t="shared" si="22"/>
        <v/>
      </c>
      <c r="G331" s="3" t="str">
        <f t="shared" si="20"/>
        <v/>
      </c>
      <c r="H331" s="5" t="str">
        <f t="shared" si="21"/>
        <v/>
      </c>
    </row>
    <row r="332" spans="4:8">
      <c r="D332" s="1" t="str" cm="1">
        <f t="array" ref="D332">MY_HEX2BIN(C332)</f>
        <v/>
      </c>
      <c r="E332" s="6" t="str">
        <f t="shared" si="22"/>
        <v/>
      </c>
      <c r="G332" s="3" t="str">
        <f t="shared" si="20"/>
        <v/>
      </c>
      <c r="H332" s="5" t="str">
        <f t="shared" si="21"/>
        <v/>
      </c>
    </row>
    <row r="333" spans="4:8">
      <c r="D333" s="1" t="str" cm="1">
        <f t="array" ref="D333">MY_HEX2BIN(C333)</f>
        <v/>
      </c>
      <c r="E333" s="6" t="str">
        <f t="shared" si="22"/>
        <v/>
      </c>
      <c r="G333" s="3" t="str">
        <f t="shared" si="20"/>
        <v/>
      </c>
      <c r="H333" s="5" t="str">
        <f t="shared" si="21"/>
        <v/>
      </c>
    </row>
    <row r="334" spans="4:8">
      <c r="D334" s="1" t="str" cm="1">
        <f t="array" ref="D334">MY_HEX2BIN(C334)</f>
        <v/>
      </c>
      <c r="E334" s="6" t="str">
        <f t="shared" si="22"/>
        <v/>
      </c>
      <c r="G334" s="3" t="str">
        <f t="shared" si="20"/>
        <v/>
      </c>
      <c r="H334" s="5" t="str">
        <f t="shared" si="21"/>
        <v/>
      </c>
    </row>
    <row r="335" spans="4:8">
      <c r="D335" s="1" t="str" cm="1">
        <f t="array" ref="D335">MY_HEX2BIN(C335)</f>
        <v/>
      </c>
      <c r="E335" s="6" t="str">
        <f t="shared" si="22"/>
        <v/>
      </c>
      <c r="G335" s="3" t="str">
        <f t="shared" si="20"/>
        <v/>
      </c>
      <c r="H335" s="5" t="str">
        <f t="shared" si="21"/>
        <v/>
      </c>
    </row>
    <row r="336" spans="4:8">
      <c r="D336" s="1" t="str" cm="1">
        <f t="array" ref="D336">MY_HEX2BIN(C336)</f>
        <v/>
      </c>
      <c r="E336" s="6" t="str">
        <f t="shared" si="22"/>
        <v/>
      </c>
      <c r="G336" s="3" t="str">
        <f t="shared" si="20"/>
        <v/>
      </c>
      <c r="H336" s="5" t="str">
        <f t="shared" si="21"/>
        <v/>
      </c>
    </row>
    <row r="337" spans="4:8">
      <c r="D337" s="1" t="str" cm="1">
        <f t="array" ref="D337">MY_HEX2BIN(C337)</f>
        <v/>
      </c>
      <c r="E337" s="6" t="str">
        <f t="shared" si="22"/>
        <v/>
      </c>
      <c r="G337" s="3" t="str">
        <f t="shared" si="20"/>
        <v/>
      </c>
      <c r="H337" s="5" t="str">
        <f t="shared" si="21"/>
        <v/>
      </c>
    </row>
    <row r="338" spans="4:8">
      <c r="D338" s="1" t="str" cm="1">
        <f t="array" ref="D338">MY_HEX2BIN(C338)</f>
        <v/>
      </c>
      <c r="E338" s="6" t="str">
        <f t="shared" si="22"/>
        <v/>
      </c>
      <c r="G338" s="3" t="str">
        <f t="shared" si="20"/>
        <v/>
      </c>
      <c r="H338" s="5" t="str">
        <f t="shared" si="21"/>
        <v/>
      </c>
    </row>
    <row r="339" spans="4:8">
      <c r="D339" s="1" t="str" cm="1">
        <f t="array" ref="D339">MY_HEX2BIN(C339)</f>
        <v/>
      </c>
      <c r="E339" s="6" t="str">
        <f t="shared" si="22"/>
        <v/>
      </c>
      <c r="G339" s="3" t="str">
        <f t="shared" si="20"/>
        <v/>
      </c>
      <c r="H339" s="5" t="str">
        <f t="shared" si="21"/>
        <v/>
      </c>
    </row>
    <row r="340" spans="4:8">
      <c r="D340" s="1" t="str" cm="1">
        <f t="array" ref="D340">MY_HEX2BIN(C340)</f>
        <v/>
      </c>
      <c r="E340" s="6" t="str">
        <f t="shared" si="22"/>
        <v/>
      </c>
      <c r="G340" s="3" t="str">
        <f t="shared" si="20"/>
        <v/>
      </c>
      <c r="H340" s="5" t="str">
        <f t="shared" si="21"/>
        <v/>
      </c>
    </row>
    <row r="341" spans="4:8">
      <c r="D341" s="1" t="str" cm="1">
        <f t="array" ref="D341">MY_HEX2BIN(C341)</f>
        <v/>
      </c>
      <c r="E341" s="6" t="str">
        <f t="shared" si="22"/>
        <v/>
      </c>
      <c r="G341" s="3" t="str">
        <f t="shared" si="20"/>
        <v/>
      </c>
      <c r="H341" s="5" t="str">
        <f t="shared" si="21"/>
        <v/>
      </c>
    </row>
    <row r="342" spans="4:8">
      <c r="D342" s="1" t="str" cm="1">
        <f t="array" ref="D342">MY_HEX2BIN(C342)</f>
        <v/>
      </c>
      <c r="E342" s="6" t="str">
        <f t="shared" si="22"/>
        <v/>
      </c>
      <c r="G342" s="3" t="str">
        <f t="shared" si="20"/>
        <v/>
      </c>
      <c r="H342" s="5" t="str">
        <f t="shared" si="21"/>
        <v/>
      </c>
    </row>
    <row r="343" spans="4:8">
      <c r="D343" s="1" t="str" cm="1">
        <f t="array" ref="D343">MY_HEX2BIN(C343)</f>
        <v/>
      </c>
      <c r="E343" s="6" t="str">
        <f t="shared" si="22"/>
        <v/>
      </c>
      <c r="G343" s="3" t="str">
        <f t="shared" si="20"/>
        <v/>
      </c>
      <c r="H343" s="5" t="str">
        <f t="shared" si="21"/>
        <v/>
      </c>
    </row>
    <row r="344" spans="4:8">
      <c r="D344" s="1" t="str" cm="1">
        <f t="array" ref="D344">MY_HEX2BIN(C344)</f>
        <v/>
      </c>
      <c r="E344" s="6" t="str">
        <f t="shared" si="22"/>
        <v/>
      </c>
      <c r="G344" s="3" t="str">
        <f t="shared" ref="G344:G352" si="23">MID(D344,12,15)</f>
        <v/>
      </c>
      <c r="H344" s="5" t="str">
        <f t="shared" ref="H344:H350" si="24">MID(D344,27,6)</f>
        <v/>
      </c>
    </row>
    <row r="345" spans="4:8">
      <c r="D345" s="1" t="str" cm="1">
        <f t="array" ref="D345">MY_HEX2BIN(C345)</f>
        <v/>
      </c>
      <c r="E345" s="6" t="str">
        <f t="shared" si="22"/>
        <v/>
      </c>
      <c r="G345" s="3" t="str">
        <f t="shared" si="23"/>
        <v/>
      </c>
      <c r="H345" s="5" t="str">
        <f t="shared" si="24"/>
        <v/>
      </c>
    </row>
    <row r="346" spans="4:8">
      <c r="D346" s="1" t="str" cm="1">
        <f t="array" ref="D346">MY_HEX2BIN(C346)</f>
        <v/>
      </c>
      <c r="E346" s="6" t="str">
        <f t="shared" si="22"/>
        <v/>
      </c>
      <c r="G346" s="3" t="str">
        <f t="shared" si="23"/>
        <v/>
      </c>
      <c r="H346" s="5" t="str">
        <f t="shared" si="24"/>
        <v/>
      </c>
    </row>
    <row r="347" spans="4:8">
      <c r="D347" s="1" t="str" cm="1">
        <f t="array" ref="D347">MY_HEX2BIN(C347)</f>
        <v/>
      </c>
      <c r="E347" s="6" t="str">
        <f t="shared" si="22"/>
        <v/>
      </c>
      <c r="G347" s="3" t="str">
        <f t="shared" si="23"/>
        <v/>
      </c>
      <c r="H347" s="5" t="str">
        <f t="shared" si="24"/>
        <v/>
      </c>
    </row>
    <row r="348" spans="4:8">
      <c r="D348" s="1" t="str" cm="1">
        <f t="array" ref="D348">MY_HEX2BIN(C348)</f>
        <v/>
      </c>
      <c r="E348" s="6" t="str">
        <f t="shared" ref="E348:E352" si="25">MID(D348,1,15)</f>
        <v/>
      </c>
      <c r="G348" s="3" t="str">
        <f t="shared" si="23"/>
        <v/>
      </c>
      <c r="H348" s="5" t="str">
        <f t="shared" si="24"/>
        <v/>
      </c>
    </row>
    <row r="349" spans="4:8">
      <c r="D349" s="1" t="str" cm="1">
        <f t="array" ref="D349">MY_HEX2BIN(C349)</f>
        <v/>
      </c>
      <c r="E349" s="6" t="str">
        <f t="shared" si="25"/>
        <v/>
      </c>
      <c r="G349" s="3" t="str">
        <f t="shared" si="23"/>
        <v/>
      </c>
      <c r="H349" s="5" t="str">
        <f t="shared" si="24"/>
        <v/>
      </c>
    </row>
    <row r="350" spans="4:8">
      <c r="D350" s="1" t="str" cm="1">
        <f t="array" ref="D350">MY_HEX2BIN(C350)</f>
        <v/>
      </c>
      <c r="E350" s="6" t="str">
        <f t="shared" si="25"/>
        <v/>
      </c>
      <c r="G350" s="3" t="str">
        <f t="shared" si="23"/>
        <v/>
      </c>
      <c r="H350" s="5" t="str">
        <f t="shared" si="24"/>
        <v/>
      </c>
    </row>
    <row r="351" spans="4:8">
      <c r="D351" s="1" t="str" cm="1">
        <f t="array" ref="D351">MY_HEX2BIN(C351)</f>
        <v/>
      </c>
      <c r="E351" s="6" t="str">
        <f t="shared" si="25"/>
        <v/>
      </c>
      <c r="G351" s="3" t="str">
        <f t="shared" si="23"/>
        <v/>
      </c>
    </row>
    <row r="352" spans="4:8">
      <c r="D352" s="1" t="str" cm="1">
        <f t="array" ref="D352">MY_HEX2BIN(C352)</f>
        <v/>
      </c>
      <c r="E352" s="6" t="str">
        <f t="shared" si="25"/>
        <v/>
      </c>
      <c r="G352" s="3" t="str">
        <f t="shared" si="23"/>
        <v/>
      </c>
    </row>
    <row r="353" spans="4:4">
      <c r="D353" s="1" t="str" cm="1">
        <f t="array" ref="D353">MY_HEX2BIN(C353)</f>
        <v/>
      </c>
    </row>
    <row r="354" spans="4:4">
      <c r="D354" s="1" t="str" cm="1">
        <f t="array" ref="D354">MY_HEX2BIN(C354)</f>
        <v/>
      </c>
    </row>
    <row r="355" spans="4:4">
      <c r="D355" s="1" t="str" cm="1">
        <f t="array" ref="D355">MY_HEX2BIN(C355)</f>
        <v/>
      </c>
    </row>
    <row r="356" spans="4:4">
      <c r="D356" s="1" t="str" cm="1">
        <f t="array" ref="D356">MY_HEX2BIN(C356)</f>
        <v/>
      </c>
    </row>
  </sheetData>
  <phoneticPr fontId="6" type="noConversion"/>
  <pageMargins left="0.7" right="0.7" top="0.75" bottom="0.75" header="0.3" footer="0.3"/>
  <pageSetup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bfaur</dc:creator>
  <cp:lastModifiedBy>bfaur</cp:lastModifiedBy>
  <dcterms:created xsi:type="dcterms:W3CDTF">2022-12-10T02:46:48Z</dcterms:created>
  <dcterms:modified xsi:type="dcterms:W3CDTF">2022-12-11T01:12:34Z</dcterms:modified>
</cp:coreProperties>
</file>